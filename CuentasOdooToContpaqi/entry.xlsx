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rlosalbertoveryanpena/Downloads/"/>
    </mc:Choice>
  </mc:AlternateContent>
  <xr:revisionPtr revIDLastSave="0" documentId="13_ncr:1_{ACACCA84-82DE-2448-B168-14367865F59F}" xr6:coauthVersionLast="47" xr6:coauthVersionMax="47" xr10:uidLastSave="{00000000-0000-0000-0000-000000000000}"/>
  <bookViews>
    <workbookView xWindow="6140" yWindow="1220" windowWidth="18980" windowHeight="18020" xr2:uid="{00000000-000D-0000-FFFF-FFFF00000000}"/>
  </bookViews>
  <sheets>
    <sheet name="Balance de comprobación" sheetId="1" r:id="rId1"/>
    <sheet name="Filtr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3" i="1" l="1" a="1"/>
  <c r="I133" i="1" s="1"/>
  <c r="I134" i="1" a="1"/>
  <c r="I134" i="1"/>
  <c r="I137" i="1" a="1"/>
  <c r="I137" i="1" s="1"/>
  <c r="I138" i="1" a="1"/>
  <c r="I138" i="1" s="1"/>
  <c r="I136" i="1" a="1"/>
  <c r="I136" i="1" s="1"/>
  <c r="I135" i="1" a="1"/>
  <c r="I135" i="1" s="1"/>
  <c r="I132" i="1" a="1"/>
  <c r="I132" i="1" s="1"/>
  <c r="I131" i="1" a="1"/>
  <c r="I131" i="1" s="1"/>
  <c r="I130" i="1" a="1"/>
  <c r="I130" i="1" s="1"/>
  <c r="I129" i="1" a="1"/>
  <c r="I129" i="1" s="1"/>
  <c r="I128" i="1" a="1"/>
  <c r="I128" i="1" s="1"/>
  <c r="I127" i="1" a="1"/>
  <c r="I127" i="1" s="1"/>
  <c r="I126" i="1" a="1"/>
  <c r="I126" i="1" s="1"/>
  <c r="I125" i="1" a="1"/>
  <c r="I125" i="1" s="1"/>
  <c r="I124" i="1" a="1"/>
  <c r="I124" i="1" s="1"/>
  <c r="I123" i="1" a="1"/>
  <c r="I123" i="1" s="1"/>
  <c r="I122" i="1" a="1"/>
  <c r="I122" i="1" s="1"/>
  <c r="I121" i="1" a="1"/>
  <c r="I121" i="1" s="1"/>
  <c r="I120" i="1" a="1"/>
  <c r="I120" i="1" s="1"/>
  <c r="I119" i="1" a="1"/>
  <c r="I119" i="1" s="1"/>
  <c r="I118" i="1" a="1"/>
  <c r="I118" i="1" s="1"/>
  <c r="I117" i="1" a="1"/>
  <c r="I117" i="1" s="1"/>
  <c r="I116" i="1" a="1"/>
  <c r="I116" i="1" s="1"/>
  <c r="I115" i="1" a="1"/>
  <c r="I115" i="1" s="1"/>
  <c r="I114" i="1" a="1"/>
  <c r="I114" i="1" s="1"/>
  <c r="I113" i="1" a="1"/>
  <c r="I113" i="1" s="1"/>
  <c r="I112" i="1" a="1"/>
  <c r="I112" i="1" s="1"/>
  <c r="I111" i="1" a="1"/>
  <c r="I111" i="1" s="1"/>
  <c r="I110" i="1" a="1"/>
  <c r="I110" i="1" s="1"/>
  <c r="I109" i="1" a="1"/>
  <c r="I109" i="1" s="1"/>
  <c r="I108" i="1" a="1"/>
  <c r="I108" i="1" s="1"/>
  <c r="I107" i="1" a="1"/>
  <c r="I107" i="1" s="1"/>
  <c r="I106" i="1" a="1"/>
  <c r="I106" i="1" s="1"/>
  <c r="I105" i="1" a="1"/>
  <c r="I105" i="1" s="1"/>
  <c r="I104" i="1" a="1"/>
  <c r="I104" i="1" s="1"/>
  <c r="I103" i="1" a="1"/>
  <c r="I103" i="1" s="1"/>
  <c r="I102" i="1" a="1"/>
  <c r="I102" i="1" s="1"/>
  <c r="I101" i="1" a="1"/>
  <c r="I101" i="1" s="1"/>
  <c r="I100" i="1" a="1"/>
  <c r="I100" i="1" s="1"/>
  <c r="I99" i="1" a="1"/>
  <c r="I99" i="1" s="1"/>
  <c r="I98" i="1" a="1"/>
  <c r="I98" i="1" s="1"/>
  <c r="I97" i="1" a="1"/>
  <c r="I97" i="1" s="1"/>
  <c r="I96" i="1" a="1"/>
  <c r="I96" i="1" s="1"/>
  <c r="I95" i="1" a="1"/>
  <c r="I95" i="1" s="1"/>
  <c r="I94" i="1" a="1"/>
  <c r="I94" i="1" s="1"/>
  <c r="I93" i="1" a="1"/>
  <c r="I93" i="1" s="1"/>
  <c r="I92" i="1" a="1"/>
  <c r="I92" i="1" s="1"/>
  <c r="I91" i="1" a="1"/>
  <c r="I91" i="1" s="1"/>
  <c r="I90" i="1" a="1"/>
  <c r="I90" i="1" s="1"/>
  <c r="I89" i="1" a="1"/>
  <c r="I89" i="1" s="1"/>
  <c r="I88" i="1" a="1"/>
  <c r="I88" i="1" s="1"/>
  <c r="I87" i="1" a="1"/>
  <c r="I87" i="1" s="1"/>
  <c r="I86" i="1" a="1"/>
  <c r="I86" i="1" s="1"/>
  <c r="I85" i="1" a="1"/>
  <c r="I85" i="1" s="1"/>
  <c r="I84" i="1" a="1"/>
  <c r="I84" i="1" s="1"/>
  <c r="I83" i="1" a="1"/>
  <c r="I83" i="1" s="1"/>
  <c r="I82" i="1" a="1"/>
  <c r="I82" i="1" s="1"/>
  <c r="I81" i="1" a="1"/>
  <c r="I81" i="1" s="1"/>
  <c r="I80" i="1" a="1"/>
  <c r="I80" i="1" s="1"/>
  <c r="I79" i="1" a="1"/>
  <c r="I79" i="1" s="1"/>
  <c r="I78" i="1" a="1"/>
  <c r="I78" i="1" s="1"/>
  <c r="I77" i="1" a="1"/>
  <c r="I77" i="1" s="1"/>
  <c r="I76" i="1" a="1"/>
  <c r="I76" i="1" s="1"/>
  <c r="I75" i="1" a="1"/>
  <c r="I75" i="1" s="1"/>
  <c r="I74" i="1" a="1"/>
  <c r="I74" i="1" s="1"/>
  <c r="I73" i="1" a="1"/>
  <c r="I73" i="1" s="1"/>
  <c r="I72" i="1" a="1"/>
  <c r="I72" i="1" s="1"/>
  <c r="I71" i="1" a="1"/>
  <c r="I71" i="1" s="1"/>
  <c r="I70" i="1" a="1"/>
  <c r="I70" i="1" s="1"/>
  <c r="I69" i="1" a="1"/>
  <c r="I69" i="1" s="1"/>
  <c r="I68" i="1" a="1"/>
  <c r="I68" i="1" s="1"/>
  <c r="I67" i="1" a="1"/>
  <c r="I67" i="1" s="1"/>
  <c r="I66" i="1" a="1"/>
  <c r="I66" i="1" s="1"/>
  <c r="I65" i="1" a="1"/>
  <c r="I65" i="1" s="1"/>
  <c r="I64" i="1" a="1"/>
  <c r="I64" i="1" s="1"/>
  <c r="I63" i="1" a="1"/>
  <c r="I63" i="1" s="1"/>
  <c r="I62" i="1" a="1"/>
  <c r="I62" i="1" s="1"/>
  <c r="I61" i="1" a="1"/>
  <c r="I61" i="1" s="1"/>
  <c r="I60" i="1" a="1"/>
  <c r="I60" i="1" s="1"/>
  <c r="I59" i="1" a="1"/>
  <c r="I59" i="1" s="1"/>
  <c r="I58" i="1" a="1"/>
  <c r="I58" i="1" s="1"/>
  <c r="I57" i="1" a="1"/>
  <c r="I57" i="1" s="1"/>
  <c r="I56" i="1" a="1"/>
  <c r="I56" i="1" s="1"/>
  <c r="I55" i="1" a="1"/>
  <c r="I55" i="1" s="1"/>
  <c r="I54" i="1" a="1"/>
  <c r="I54" i="1" s="1"/>
  <c r="I53" i="1" a="1"/>
  <c r="I53" i="1" s="1"/>
  <c r="I52" i="1" a="1"/>
  <c r="I52" i="1" s="1"/>
  <c r="I51" i="1" a="1"/>
  <c r="I51" i="1" s="1"/>
  <c r="I50" i="1" a="1"/>
  <c r="I50" i="1" s="1"/>
  <c r="I49" i="1" a="1"/>
  <c r="I49" i="1" s="1"/>
  <c r="I48" i="1" a="1"/>
  <c r="I48" i="1" s="1"/>
  <c r="I47" i="1" a="1"/>
  <c r="I47" i="1" s="1"/>
  <c r="I46" i="1" a="1"/>
  <c r="I46" i="1" s="1"/>
  <c r="I45" i="1" a="1"/>
  <c r="I45" i="1" s="1"/>
  <c r="I44" i="1" a="1"/>
  <c r="I44" i="1" s="1"/>
  <c r="I43" i="1" a="1"/>
  <c r="I43" i="1" s="1"/>
  <c r="I42" i="1" a="1"/>
  <c r="I42" i="1" s="1"/>
  <c r="I41" i="1" a="1"/>
  <c r="I41" i="1" s="1"/>
  <c r="I40" i="1" a="1"/>
  <c r="I40" i="1" s="1"/>
  <c r="I39" i="1" a="1"/>
  <c r="I39" i="1" s="1"/>
  <c r="I38" i="1" a="1"/>
  <c r="I38" i="1" s="1"/>
  <c r="I37" i="1" a="1"/>
  <c r="I37" i="1" s="1"/>
  <c r="I36" i="1" a="1"/>
  <c r="I36" i="1" s="1"/>
  <c r="I35" i="1" a="1"/>
  <c r="I35" i="1" s="1"/>
  <c r="I34" i="1" a="1"/>
  <c r="I34" i="1" s="1"/>
  <c r="I33" i="1" a="1"/>
  <c r="I33" i="1" s="1"/>
  <c r="I32" i="1" a="1"/>
  <c r="I32" i="1" s="1"/>
  <c r="I31" i="1" a="1"/>
  <c r="I31" i="1" s="1"/>
  <c r="I30" i="1" a="1"/>
  <c r="I30" i="1" s="1"/>
  <c r="I29" i="1" a="1"/>
  <c r="I29" i="1" s="1"/>
  <c r="I28" i="1" a="1"/>
  <c r="I28" i="1" s="1"/>
  <c r="I27" i="1" a="1"/>
  <c r="I27" i="1" s="1"/>
  <c r="I26" i="1" a="1"/>
  <c r="I26" i="1" s="1"/>
  <c r="I25" i="1" a="1"/>
  <c r="I25" i="1" s="1"/>
  <c r="I24" i="1" a="1"/>
  <c r="I24" i="1" s="1"/>
  <c r="I23" i="1" a="1"/>
  <c r="I23" i="1" s="1"/>
  <c r="I22" i="1" a="1"/>
  <c r="I22" i="1" s="1"/>
  <c r="I21" i="1" a="1"/>
  <c r="I21" i="1" s="1"/>
  <c r="I20" i="1" a="1"/>
  <c r="I20" i="1" s="1"/>
  <c r="I19" i="1" a="1"/>
  <c r="I19" i="1" s="1"/>
  <c r="I18" i="1" a="1"/>
  <c r="I18" i="1" s="1"/>
  <c r="I17" i="1" a="1"/>
  <c r="I17" i="1" s="1"/>
  <c r="I16" i="1" a="1"/>
  <c r="I16" i="1" s="1"/>
  <c r="I15" i="1" a="1"/>
  <c r="I15" i="1" s="1"/>
  <c r="I14" i="1" a="1"/>
  <c r="I14" i="1" s="1"/>
  <c r="I13" i="1" a="1"/>
  <c r="I13" i="1" s="1"/>
  <c r="I12" i="1" a="1"/>
  <c r="I12" i="1" s="1"/>
  <c r="I11" i="1" a="1"/>
  <c r="I11" i="1" s="1"/>
  <c r="I10" i="1" a="1"/>
  <c r="I10" i="1" s="1"/>
  <c r="I9" i="1" a="1"/>
  <c r="I9" i="1" s="1"/>
  <c r="I8" i="1" a="1"/>
  <c r="I8" i="1" s="1"/>
  <c r="I7" i="1" a="1"/>
  <c r="I7" i="1" s="1"/>
  <c r="I6" i="1" a="1"/>
  <c r="I6" i="1" s="1"/>
  <c r="I5" i="1" a="1"/>
  <c r="I5" i="1" s="1"/>
  <c r="I4" i="1" a="1"/>
  <c r="I4" i="1" s="1"/>
  <c r="I3" i="1" a="1"/>
  <c r="I3" i="1" s="1"/>
  <c r="I2" i="1" a="1"/>
  <c r="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<sst xmlns="http://schemas.openxmlformats.org/spreadsheetml/2006/main" count="230" uniqueCount="226">
  <si>
    <t>Código</t>
  </si>
  <si>
    <t>Nombre de la cuenta</t>
  </si>
  <si>
    <t xml:space="preserve">Debe  </t>
  </si>
  <si>
    <t xml:space="preserve">Haber </t>
  </si>
  <si>
    <t>1 Activos</t>
  </si>
  <si>
    <t>102 Banco</t>
  </si>
  <si>
    <t>102.01 Bancos nacionales</t>
  </si>
  <si>
    <t>102.01.02</t>
  </si>
  <si>
    <t>Banco INBURSA 2255</t>
  </si>
  <si>
    <t>102.01.05</t>
  </si>
  <si>
    <t>INBURSA 22255</t>
  </si>
  <si>
    <t>105 Clientes</t>
  </si>
  <si>
    <t>105.01 Clientes nacionales</t>
  </si>
  <si>
    <t>105.01.01</t>
  </si>
  <si>
    <t>Clientes nacionales</t>
  </si>
  <si>
    <t>105.01.03</t>
  </si>
  <si>
    <t>SOCIEDAD DE APOYO SF, S.A. DE C.V.</t>
  </si>
  <si>
    <t>107 Deudores diversos</t>
  </si>
  <si>
    <t>107.05 Otros deudores diversos</t>
  </si>
  <si>
    <t>107.05.02</t>
  </si>
  <si>
    <t>Otros deudores diversos</t>
  </si>
  <si>
    <t>113 Impuestos a favor</t>
  </si>
  <si>
    <t>113.01 IVA a favor</t>
  </si>
  <si>
    <t>113.01.01</t>
  </si>
  <si>
    <t>IVA a favor</t>
  </si>
  <si>
    <t>113.02 ISR a favor</t>
  </si>
  <si>
    <t>113.02.01</t>
  </si>
  <si>
    <t>ISR Retenido</t>
  </si>
  <si>
    <t>113.02.02</t>
  </si>
  <si>
    <t>ISR Retenido Bancos</t>
  </si>
  <si>
    <t>113.02.03</t>
  </si>
  <si>
    <t>ISR a favor</t>
  </si>
  <si>
    <t>113.08 Otros impuestos a favor</t>
  </si>
  <si>
    <t>113.08.01</t>
  </si>
  <si>
    <t>Otros impuestos a favor</t>
  </si>
  <si>
    <t>114 Pagos provisionales</t>
  </si>
  <si>
    <t>114.01 Pagos provisionales de ISR</t>
  </si>
  <si>
    <t>114.01.01</t>
  </si>
  <si>
    <t>Pagos provisionales de ISR</t>
  </si>
  <si>
    <t>118 Impuestos acreditables pagados</t>
  </si>
  <si>
    <t>118.01 IVA acreditable pagado</t>
  </si>
  <si>
    <t>118.01.01</t>
  </si>
  <si>
    <t>IVA acreditable pagado</t>
  </si>
  <si>
    <t>119 Impuestos acreditables por pagar</t>
  </si>
  <si>
    <t>119.01 IVA pendiente de pago</t>
  </si>
  <si>
    <t>119.01.01</t>
  </si>
  <si>
    <t>IVA pendiente de pago</t>
  </si>
  <si>
    <t>151 Terrenos</t>
  </si>
  <si>
    <t>151.01 Terrenos</t>
  </si>
  <si>
    <t>151.01.01</t>
  </si>
  <si>
    <t>Terrenos</t>
  </si>
  <si>
    <t>156 Equipo de cómputo</t>
  </si>
  <si>
    <t>156.01 Equipo de cómputo</t>
  </si>
  <si>
    <t>156.01.01</t>
  </si>
  <si>
    <t>Equipo de cómputo</t>
  </si>
  <si>
    <t>171 Depreciación acumulada de activos fijos</t>
  </si>
  <si>
    <t>171.01 Depreciación acumulada de edificios</t>
  </si>
  <si>
    <t>171.01.01</t>
  </si>
  <si>
    <t>Depreciación acumulada de edificios</t>
  </si>
  <si>
    <t>171.05 Depreciación acumulada de equipo de cómputo</t>
  </si>
  <si>
    <t>171.05.01</t>
  </si>
  <si>
    <t>Depreciación acumulada de equipo de cómputo</t>
  </si>
  <si>
    <t>2 Pasivos</t>
  </si>
  <si>
    <t>201 Proveedores</t>
  </si>
  <si>
    <t>201.01 Proveedores nacionales</t>
  </si>
  <si>
    <t>201.01.01</t>
  </si>
  <si>
    <t>Proveedores nacionales</t>
  </si>
  <si>
    <t>201.03 Proveedores nacionales parte relacionada</t>
  </si>
  <si>
    <t>201.03.01</t>
  </si>
  <si>
    <t>Proveedores nacionales parte relacionada</t>
  </si>
  <si>
    <t>205 Acreedores diversos a corto plazo</t>
  </si>
  <si>
    <t>205.02 Acreedores diversos a corto plazo nacional</t>
  </si>
  <si>
    <t>205.02.01</t>
  </si>
  <si>
    <t>Acreedores diversos a corto plazo nacional</t>
  </si>
  <si>
    <t>205.02.05</t>
  </si>
  <si>
    <t>UTIL SOLUCIONES EN RECURSOS HUMANOS S.A. DE C.V.</t>
  </si>
  <si>
    <t>205.02.06</t>
  </si>
  <si>
    <t>ROLANDO RODRÍGUEZ BARCELO</t>
  </si>
  <si>
    <t>205.02.07</t>
  </si>
  <si>
    <t>WITT RGA CONSULTORES SC</t>
  </si>
  <si>
    <t>205.02.08</t>
  </si>
  <si>
    <t>RSM MEXICO BOGARIN SC.</t>
  </si>
  <si>
    <t>205.02.09</t>
  </si>
  <si>
    <t>SECRETARIA DE ADMINISTRACION Y FINANZAS</t>
  </si>
  <si>
    <t>205.02.10</t>
  </si>
  <si>
    <t>ONIX EXPEDITION</t>
  </si>
  <si>
    <t>205.06 Otros acreedores diversos a corto plazo</t>
  </si>
  <si>
    <t>205.06.02</t>
  </si>
  <si>
    <t>Otros acreedores diversos a corto plazo</t>
  </si>
  <si>
    <t>208 Impuestos trasladados cobrados</t>
  </si>
  <si>
    <t>208.01 IVA trasladado cobrado</t>
  </si>
  <si>
    <t>208.01.01</t>
  </si>
  <si>
    <t>IVA trasladado cobrado</t>
  </si>
  <si>
    <t>209 Impuestos trasladados no cobrados</t>
  </si>
  <si>
    <t>209.01 IVA trasladado no cobrado</t>
  </si>
  <si>
    <t>209.01.01</t>
  </si>
  <si>
    <t>IVA trasladado no cobrado</t>
  </si>
  <si>
    <t>210 Provisión de sueldos y salarios por pagar</t>
  </si>
  <si>
    <t>210.05 Provisión de asimilados a salarios por pagar</t>
  </si>
  <si>
    <t>210.05.01</t>
  </si>
  <si>
    <t>Provisión de asimilados a salarios por pagar</t>
  </si>
  <si>
    <t>213 Impuestos y derechos por pagar</t>
  </si>
  <si>
    <t>213.01 IVA por pagar</t>
  </si>
  <si>
    <t>213.01.01</t>
  </si>
  <si>
    <t>IVA por pagar</t>
  </si>
  <si>
    <t>213.03 ISR a favor</t>
  </si>
  <si>
    <t>213.03.01</t>
  </si>
  <si>
    <t>ISR por pagar</t>
  </si>
  <si>
    <t>213.06 Derechos por pagar</t>
  </si>
  <si>
    <t>213.06.01</t>
  </si>
  <si>
    <t>ISR PAGOS PROVISIONALES</t>
  </si>
  <si>
    <t>216 Impuestos retenidos</t>
  </si>
  <si>
    <t>216.01 Impuestos retenidos de ISR por sueldos y salarios</t>
  </si>
  <si>
    <t>216.01.01</t>
  </si>
  <si>
    <t>Retenciones o impuesto sobre la renta para sueldos y salarios</t>
  </si>
  <si>
    <t>216.02 Impuestos retenidos de ISR por asimilados a salarios</t>
  </si>
  <si>
    <t>216.02.01</t>
  </si>
  <si>
    <t>Impuestos retenidos de ISR por asimilados a salarios</t>
  </si>
  <si>
    <t>216.04 Impuestos retenidos de ISR por servicios profesionales</t>
  </si>
  <si>
    <t>216.04.01</t>
  </si>
  <si>
    <t>Impuestos retenidos de ISR por servicios profesionales</t>
  </si>
  <si>
    <t>216.06 Impuestos retenidos de ISR por intereses</t>
  </si>
  <si>
    <t>216.06.01</t>
  </si>
  <si>
    <t>Impuestos retenidos de ISR por intereses</t>
  </si>
  <si>
    <t>216.10 Impuestos retenidos de IVA</t>
  </si>
  <si>
    <t>216.10.10</t>
  </si>
  <si>
    <t>Impuestos retenidos de IVA</t>
  </si>
  <si>
    <t>216.10.20</t>
  </si>
  <si>
    <t>Impuestos retenidos de iva efectivamente pagados</t>
  </si>
  <si>
    <t>3 Capital Contable</t>
  </si>
  <si>
    <t>304 Resultado de ejercicios anteriores</t>
  </si>
  <si>
    <t>304.01 Utilidad de ejercicios anteriores</t>
  </si>
  <si>
    <t>304.01.02</t>
  </si>
  <si>
    <t>EJERCICIO 2016</t>
  </si>
  <si>
    <t>304.01.03</t>
  </si>
  <si>
    <t>EJERCICIO 2017</t>
  </si>
  <si>
    <t>304.01.04</t>
  </si>
  <si>
    <t>EJERCICIO 2018</t>
  </si>
  <si>
    <t>304.01.05</t>
  </si>
  <si>
    <t>EJERCICIO 2019</t>
  </si>
  <si>
    <t>304.01.06</t>
  </si>
  <si>
    <t>EJERCICIO 2020</t>
  </si>
  <si>
    <t>304.01.07</t>
  </si>
  <si>
    <t>EJERCICIO 2021</t>
  </si>
  <si>
    <t>304.01.08</t>
  </si>
  <si>
    <t>EJERCICIO 2022</t>
  </si>
  <si>
    <t>304.01.09</t>
  </si>
  <si>
    <t>EJERCICIO 2023</t>
  </si>
  <si>
    <t>304.01.10</t>
  </si>
  <si>
    <t>EJERCICIO 2024</t>
  </si>
  <si>
    <t>305 Resultado del ejercicio</t>
  </si>
  <si>
    <t>305.01 Utilidad del ejercicio</t>
  </si>
  <si>
    <t>305.01.01</t>
  </si>
  <si>
    <t>Resutado Integral</t>
  </si>
  <si>
    <t>4 Ingresos</t>
  </si>
  <si>
    <t>401 Ingresos</t>
  </si>
  <si>
    <t>401.01 Ventas y/o servicios gravados a la tasa general</t>
  </si>
  <si>
    <t>401.01.01</t>
  </si>
  <si>
    <t>Ventas y/o servicios gravados a la tasa general</t>
  </si>
  <si>
    <t>401.32 Ingresos por intereses (actividad propia)</t>
  </si>
  <si>
    <t>401.32.01</t>
  </si>
  <si>
    <t>Ingresos por intereses (actividad propia)</t>
  </si>
  <si>
    <t>6 Gastos generales</t>
  </si>
  <si>
    <t>601 Gastos generales</t>
  </si>
  <si>
    <t>601.31 Asimilados a salarios</t>
  </si>
  <si>
    <t>601.31.01</t>
  </si>
  <si>
    <t>Asimilados a salarios</t>
  </si>
  <si>
    <t>601.56 Mantenimiento y conservación</t>
  </si>
  <si>
    <t>601.56.01</t>
  </si>
  <si>
    <t>Mantenimiento y conservación</t>
  </si>
  <si>
    <t>601.61 Propaganda y publicidad</t>
  </si>
  <si>
    <t>601.61.01</t>
  </si>
  <si>
    <t>Propaganda y publicidad</t>
  </si>
  <si>
    <t>601.83 Gastos no deducibles (sin requisitos fiscales)</t>
  </si>
  <si>
    <t>601.83.01</t>
  </si>
  <si>
    <t>Gastos no deducibles (sin requisitos fiscales)</t>
  </si>
  <si>
    <t>601.84 Otros gastos generales</t>
  </si>
  <si>
    <t>601.84.01</t>
  </si>
  <si>
    <t>Otros gastos generales</t>
  </si>
  <si>
    <t>603 Gastos de administración</t>
  </si>
  <si>
    <t>603.84.000</t>
  </si>
  <si>
    <t>servicios de contabilidad</t>
  </si>
  <si>
    <t>613 Amortización contable</t>
  </si>
  <si>
    <t>613.01 Depreciación de edificios</t>
  </si>
  <si>
    <t>613.01.01</t>
  </si>
  <si>
    <t>Depreciación de edificios</t>
  </si>
  <si>
    <t>7 Resultado</t>
  </si>
  <si>
    <t>701 Gastos financieros</t>
  </si>
  <si>
    <t>701.04 Intereses a cargo bancario nacional</t>
  </si>
  <si>
    <t>701.04.01</t>
  </si>
  <si>
    <t>Intereses a cargo bancario nacional</t>
  </si>
  <si>
    <t>701.10 Comisiones bancarias</t>
  </si>
  <si>
    <t>701.10.01</t>
  </si>
  <si>
    <t>Comisiones bancarias</t>
  </si>
  <si>
    <t>702 Utilidad cambiaria</t>
  </si>
  <si>
    <t>702.04 Intereses a favor bancarios nacional</t>
  </si>
  <si>
    <t>702.04.01</t>
  </si>
  <si>
    <t>Intereses a favor bancarios nacional</t>
  </si>
  <si>
    <t>8 Cuentas de Orden</t>
  </si>
  <si>
    <t>899 Otras cuentas de orden</t>
  </si>
  <si>
    <t>899.01 Otras cuentas de orden</t>
  </si>
  <si>
    <t>899.01.99</t>
  </si>
  <si>
    <t>Base Imponible de Impuestos en Base a Flujo de Efectivo</t>
  </si>
  <si>
    <t>Empresa</t>
  </si>
  <si>
    <t>R&amp;B PROYECTOS ESTRATEGICOS Y ECONOMIA SC</t>
  </si>
  <si>
    <t>Tipo</t>
  </si>
  <si>
    <t>A</t>
  </si>
  <si>
    <t>Activo Deudora</t>
  </si>
  <si>
    <t>B</t>
  </si>
  <si>
    <t>Activo Acreedora</t>
  </si>
  <si>
    <t>C</t>
  </si>
  <si>
    <t>Pasivo Deudora</t>
  </si>
  <si>
    <t>D</t>
  </si>
  <si>
    <t>Pasivo Acreedora</t>
  </si>
  <si>
    <t>E</t>
  </si>
  <si>
    <t>Capital Deudora</t>
  </si>
  <si>
    <t>F</t>
  </si>
  <si>
    <t>Capital Acredora</t>
  </si>
  <si>
    <t>G</t>
  </si>
  <si>
    <t>Resultados Deudora</t>
  </si>
  <si>
    <t>H</t>
  </si>
  <si>
    <t>Resultados Acreedora</t>
  </si>
  <si>
    <t>K</t>
  </si>
  <si>
    <t>Orden Deudora</t>
  </si>
  <si>
    <t>L</t>
  </si>
  <si>
    <t>Orden Acreedora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</si>
</sst>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b/>
      <sz val="13"/>
      <color rgb="FF666666"/>
      <name val="Lato"/>
      <family val="2"/>
    </font>
    <font>
      <b/>
      <sz val="12"/>
      <color rgb="FF666666"/>
      <name val="Lato"/>
      <family val="2"/>
    </font>
    <font>
      <sz val="12"/>
      <color rgb="FF666666"/>
      <name val="Lato"/>
      <family val="2"/>
    </font>
    <font>
      <sz val="12"/>
      <color theme="1"/>
      <name val="Lato Regula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4" fontId="2" fillId="0" borderId="2" xfId="0" applyNumberFormat="1" applyFont="1" applyBorder="1" applyAlignment="1">
      <alignment horizontal="left" indent="1"/>
    </xf>
    <xf numFmtId="4" fontId="2" fillId="0" borderId="2" xfId="0" applyNumberFormat="1" applyFont="1" applyBorder="1"/>
    <xf numFmtId="4" fontId="3" fillId="0" borderId="0" xfId="0" applyNumberFormat="1" applyFont="1" applyAlignment="1">
      <alignment horizontal="left" indent="2"/>
    </xf>
    <xf numFmtId="4" fontId="3" fillId="0" borderId="0" xfId="0" applyNumberFormat="1" applyFont="1"/>
    <xf numFmtId="4" fontId="4" fillId="0" borderId="0" xfId="0" applyNumberFormat="1" applyFont="1" applyAlignment="1">
      <alignment horizontal="left" indent="3"/>
    </xf>
    <xf numFmtId="4" fontId="4" fillId="0" borderId="0" xfId="0" applyNumberFormat="1" applyFont="1"/>
    <xf numFmtId="0" fontId="4" fillId="0" borderId="0" xfId="0" applyFont="1"/>
    <xf numFmtId="4" fontId="4" fillId="0" borderId="0" xfId="0" applyNumberFormat="1" applyFont="1" applyAlignment="1">
      <alignment horizontal="left" indent="4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8"/>
  <sheetViews>
    <sheetView tabSelected="1" topLeftCell="B110" workbookViewId="0">
      <selection activeCell="I131" sqref="I131"/>
    </sheetView>
  </sheetViews>
  <sheetFormatPr baseColWidth="10" defaultColWidth="8.83203125" defaultRowHeight="15" x14ac:dyDescent="0.2"/>
  <cols>
    <col min="1" max="1" width="13.6640625" customWidth="1"/>
    <col min="2" max="2" width="70.5" customWidth="1"/>
    <col min="3" max="3" width="17.83203125" customWidth="1"/>
    <col min="4" max="6" width="16.5" customWidth="1"/>
    <col min="7" max="7" width="17.83203125" customWidth="1"/>
    <col min="8" max="8" width="16.5" customWidth="1"/>
    <col min="9" max="9" width="25" style="10" bestFit="1" customWidth="1"/>
  </cols>
  <sheetData>
    <row r="1" spans="1:13" ht="16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2</v>
      </c>
      <c r="H1" s="1" t="s">
        <v>3</v>
      </c>
      <c r="I1" s="1" t="s">
        <v>205</v>
      </c>
    </row>
    <row r="2" spans="1:13" ht="17" x14ac:dyDescent="0.25">
      <c r="B2" s="2" t="s">
        <v>4</v>
      </c>
      <c r="C2" s="3">
        <v>2496333.4900000002</v>
      </c>
      <c r="D2" s="3">
        <v>323820.37</v>
      </c>
      <c r="E2" s="3">
        <v>260825.42</v>
      </c>
      <c r="F2" s="3">
        <v>150749.1</v>
      </c>
      <c r="G2" s="3">
        <v>2606409.81</v>
      </c>
      <c r="H2" s="3">
        <v>323820.37</v>
      </c>
      <c r="I2" s="10" t="str" cm="1">
        <f t="array" ref="I2">+_xlfn.IFNA(IF(MID(B2,1,1)="1",_xlfn.IFS(G2&gt;H2,$L$4,H2&gt;G2,$L$5),IF(MID(A2,1,1)="1",_xlfn.IFS(G2&gt;H2,$L$4,H2&gt;G2,$L$5))),"A")</f>
        <v>A</v>
      </c>
    </row>
    <row r="3" spans="1:13" x14ac:dyDescent="0.2">
      <c r="B3" s="4" t="s">
        <v>5</v>
      </c>
      <c r="C3" s="5">
        <v>106107.1899999999</v>
      </c>
      <c r="D3" s="5"/>
      <c r="E3" s="5">
        <v>130159.33</v>
      </c>
      <c r="F3" s="5">
        <v>3049.9</v>
      </c>
      <c r="G3" s="5">
        <v>233216.62</v>
      </c>
      <c r="H3" s="5"/>
      <c r="I3" s="10" t="str" cm="1">
        <f t="array" ref="I3">+_xlfn.IFNA(IF(MID(B3,1,1)="1",_xlfn.IFS(G3&gt;H3,$L$4,H3&gt;G3,$L$5),IF(MID(A3,1,1)="1",_xlfn.IFS(G3&gt;H3,$L$4,H3&gt;G3,$L$5))),"A")</f>
        <v>A</v>
      </c>
    </row>
    <row r="4" spans="1:13" x14ac:dyDescent="0.2">
      <c r="B4" s="6" t="s">
        <v>6</v>
      </c>
      <c r="C4" s="7">
        <v>106107.1899999999</v>
      </c>
      <c r="D4" s="7"/>
      <c r="E4" s="7">
        <v>130159.33</v>
      </c>
      <c r="F4" s="7">
        <v>3049.9</v>
      </c>
      <c r="G4" s="7">
        <v>233216.62</v>
      </c>
      <c r="H4" s="7"/>
      <c r="I4" s="10" t="str" cm="1">
        <f t="array" ref="I4">+_xlfn.IFNA(IF(MID(B4,1,1)="1",_xlfn.IFS(G4&gt;H4,$L$4,H4&gt;G4,$L$5),IF(MID(A4,1,1)="1",_xlfn.IFS(G4&gt;H4,$L$4,H4&gt;G4,$L$5))),"A")</f>
        <v>A</v>
      </c>
      <c r="L4" t="s">
        <v>206</v>
      </c>
      <c r="M4" t="s">
        <v>207</v>
      </c>
    </row>
    <row r="5" spans="1:13" x14ac:dyDescent="0.2">
      <c r="A5" s="8" t="s">
        <v>7</v>
      </c>
      <c r="B5" s="9" t="s">
        <v>8</v>
      </c>
      <c r="C5" s="7">
        <v>106107.1899999999</v>
      </c>
      <c r="D5" s="7"/>
      <c r="E5" s="7">
        <v>130159.33</v>
      </c>
      <c r="F5" s="7">
        <v>3049.9</v>
      </c>
      <c r="G5" s="7">
        <v>233216.62</v>
      </c>
      <c r="H5" s="7"/>
      <c r="I5" s="10" t="str" cm="1">
        <f t="array" ref="I5">+_xlfn.IFNA(IF(MID(B5,1,1)="1",_xlfn.IFS(G5&gt;H5,$L$4,H5&gt;G5,$L$5),IF(MID(A5,1,1)="1",_xlfn.IFS(G5&gt;H5,$L$4,H5&gt;G5,$L$5))),"A")</f>
        <v>A</v>
      </c>
      <c r="L5" t="s">
        <v>208</v>
      </c>
      <c r="M5" t="s">
        <v>209</v>
      </c>
    </row>
    <row r="6" spans="1:13" x14ac:dyDescent="0.2">
      <c r="A6" s="8" t="s">
        <v>9</v>
      </c>
      <c r="B6" s="9" t="s">
        <v>10</v>
      </c>
      <c r="C6" s="7"/>
      <c r="D6" s="7"/>
      <c r="E6" s="7"/>
      <c r="F6" s="7"/>
      <c r="G6" s="7"/>
      <c r="H6" s="7"/>
      <c r="I6" s="10" t="str" cm="1">
        <f t="array" ref="I6">+_xlfn.IFNA(IF(MID(B6,1,1)="1",_xlfn.IFS(G6&gt;H6,$L$4,H6&gt;G6,$L$5),IF(MID(A6,1,1)="1",_xlfn.IFS(G6&gt;H6,$L$4,H6&gt;G6,$L$5))),"A")</f>
        <v>A</v>
      </c>
      <c r="L6" t="s">
        <v>210</v>
      </c>
      <c r="M6" t="s">
        <v>211</v>
      </c>
    </row>
    <row r="7" spans="1:13" x14ac:dyDescent="0.2">
      <c r="B7" s="4" t="s">
        <v>11</v>
      </c>
      <c r="C7" s="5"/>
      <c r="D7" s="5"/>
      <c r="E7" s="5">
        <v>129796.27</v>
      </c>
      <c r="F7" s="5">
        <v>129796.27</v>
      </c>
      <c r="G7" s="5"/>
      <c r="H7" s="5"/>
      <c r="I7" s="10" t="str" cm="1">
        <f t="array" ref="I7">+_xlfn.IFNA(IF(MID(B7,1,1)="1",_xlfn.IFS(G7&gt;H7,$L$4,H7&gt;G7,$L$5),IF(MID(A7,1,1)="1",_xlfn.IFS(G7&gt;H7,$L$4,H7&gt;G7,$L$5))),"A")</f>
        <v>A</v>
      </c>
      <c r="L7" t="s">
        <v>212</v>
      </c>
      <c r="M7" t="s">
        <v>213</v>
      </c>
    </row>
    <row r="8" spans="1:13" x14ac:dyDescent="0.2">
      <c r="B8" s="6" t="s">
        <v>12</v>
      </c>
      <c r="C8" s="7"/>
      <c r="D8" s="7"/>
      <c r="E8" s="7">
        <v>129796.27</v>
      </c>
      <c r="F8" s="7">
        <v>129796.27</v>
      </c>
      <c r="G8" s="7"/>
      <c r="H8" s="7"/>
      <c r="I8" s="10" t="str" cm="1">
        <f t="array" ref="I8">+_xlfn.IFNA(IF(MID(B8,1,1)="1",_xlfn.IFS(G8&gt;H8,$L$4,H8&gt;G8,$L$5),IF(MID(A8,1,1)="1",_xlfn.IFS(G8&gt;H8,$L$4,H8&gt;G8,$L$5))),"A")</f>
        <v>A</v>
      </c>
      <c r="L8" t="s">
        <v>214</v>
      </c>
      <c r="M8" t="s">
        <v>215</v>
      </c>
    </row>
    <row r="9" spans="1:13" x14ac:dyDescent="0.2">
      <c r="A9" s="8" t="s">
        <v>13</v>
      </c>
      <c r="B9" s="9" t="s">
        <v>14</v>
      </c>
      <c r="C9" s="7"/>
      <c r="D9" s="7"/>
      <c r="E9" s="7">
        <v>129796.27</v>
      </c>
      <c r="F9" s="7">
        <v>129796.27</v>
      </c>
      <c r="G9" s="7"/>
      <c r="H9" s="7"/>
      <c r="I9" s="10" t="str" cm="1">
        <f t="array" ref="I9">+_xlfn.IFNA(IF(MID(B9,1,1)="1",_xlfn.IFS(G9&gt;H9,$L$4,H9&gt;G9,$L$5),IF(MID(A9,1,1)="1",_xlfn.IFS(G9&gt;H9,$L$4,H9&gt;G9,$L$5))),"A")</f>
        <v>A</v>
      </c>
      <c r="L9" t="s">
        <v>216</v>
      </c>
      <c r="M9" t="s">
        <v>217</v>
      </c>
    </row>
    <row r="10" spans="1:13" x14ac:dyDescent="0.2">
      <c r="A10" s="8" t="s">
        <v>15</v>
      </c>
      <c r="B10" s="9" t="s">
        <v>16</v>
      </c>
      <c r="C10" s="7"/>
      <c r="D10" s="7"/>
      <c r="E10" s="7"/>
      <c r="F10" s="7"/>
      <c r="G10" s="7"/>
      <c r="H10" s="7"/>
      <c r="I10" s="10" t="str" cm="1">
        <f t="array" ref="I10">+_xlfn.IFNA(IF(MID(B10,1,1)="1",_xlfn.IFS(G10&gt;H10,$L$4,H10&gt;G10,$L$5),IF(MID(A10,1,1)="1",_xlfn.IFS(G10&gt;H10,$L$4,H10&gt;G10,$L$5))),"A")</f>
        <v>A</v>
      </c>
      <c r="L10" t="s">
        <v>218</v>
      </c>
      <c r="M10" t="s">
        <v>219</v>
      </c>
    </row>
    <row r="11" spans="1:13" x14ac:dyDescent="0.2">
      <c r="B11" s="4" t="s">
        <v>17</v>
      </c>
      <c r="C11" s="5">
        <v>31.39</v>
      </c>
      <c r="D11" s="5"/>
      <c r="E11" s="5"/>
      <c r="F11" s="5"/>
      <c r="G11" s="5">
        <v>31.39</v>
      </c>
      <c r="H11" s="5"/>
      <c r="I11" s="10" t="str" cm="1">
        <f t="array" ref="I11">+_xlfn.IFNA(IF(MID(B11,1,1)="1",_xlfn.IFS(G11&gt;H11,$L$4,H11&gt;G11,$L$5),IF(MID(A11,1,1)="1",_xlfn.IFS(G11&gt;H11,$L$4,H11&gt;G11,$L$5))),"A")</f>
        <v>A</v>
      </c>
      <c r="L11" t="s">
        <v>220</v>
      </c>
      <c r="M11" t="s">
        <v>221</v>
      </c>
    </row>
    <row r="12" spans="1:13" x14ac:dyDescent="0.2">
      <c r="B12" s="6" t="s">
        <v>18</v>
      </c>
      <c r="C12" s="7">
        <v>31.39</v>
      </c>
      <c r="D12" s="7"/>
      <c r="E12" s="7"/>
      <c r="F12" s="7"/>
      <c r="G12" s="7">
        <v>31.39</v>
      </c>
      <c r="H12" s="7"/>
      <c r="I12" s="10" t="str" cm="1">
        <f t="array" ref="I12">+_xlfn.IFNA(IF(MID(B12,1,1)="1",_xlfn.IFS(G12&gt;H12,$L$4,H12&gt;G12,$L$5),IF(MID(A12,1,1)="1",_xlfn.IFS(G12&gt;H12,$L$4,H12&gt;G12,$L$5))),"A")</f>
        <v>A</v>
      </c>
      <c r="L12" t="s">
        <v>222</v>
      </c>
      <c r="M12" t="s">
        <v>223</v>
      </c>
    </row>
    <row r="13" spans="1:13" x14ac:dyDescent="0.2">
      <c r="A13" s="8" t="s">
        <v>19</v>
      </c>
      <c r="B13" s="9" t="s">
        <v>20</v>
      </c>
      <c r="C13" s="7">
        <v>31.39</v>
      </c>
      <c r="D13" s="7"/>
      <c r="E13" s="7"/>
      <c r="F13" s="7"/>
      <c r="G13" s="7">
        <v>31.39</v>
      </c>
      <c r="H13" s="7"/>
      <c r="I13" s="10" t="str" cm="1">
        <f t="array" ref="I13">+_xlfn.IFNA(IF(MID(B13,1,1)="1",_xlfn.IFS(G13&gt;H13,$L$4,H13&gt;G13,$L$5),IF(MID(A13,1,1)="1",_xlfn.IFS(G13&gt;H13,$L$4,H13&gt;G13,$L$5))),"A")</f>
        <v>A</v>
      </c>
      <c r="L13" t="s">
        <v>224</v>
      </c>
      <c r="M13" t="s">
        <v>225</v>
      </c>
    </row>
    <row r="14" spans="1:13" x14ac:dyDescent="0.2">
      <c r="B14" s="4" t="s">
        <v>21</v>
      </c>
      <c r="C14" s="5">
        <v>101049.1</v>
      </c>
      <c r="D14" s="5"/>
      <c r="E14" s="5">
        <v>49.9</v>
      </c>
      <c r="F14" s="5">
        <v>17902.93</v>
      </c>
      <c r="G14" s="5">
        <v>83196.070000000007</v>
      </c>
      <c r="H14" s="5"/>
      <c r="I14" s="10" t="str" cm="1">
        <f t="array" ref="I14">+_xlfn.IFNA(IF(MID(B14,1,1)="1",_xlfn.IFS(G14&gt;H14,$L$4,H14&gt;G14,$L$5),IF(MID(A14,1,1)="1",_xlfn.IFS(G14&gt;H14,$L$4,H14&gt;G14,$L$5))),"A")</f>
        <v>A</v>
      </c>
    </row>
    <row r="15" spans="1:13" x14ac:dyDescent="0.2">
      <c r="B15" s="6" t="s">
        <v>22</v>
      </c>
      <c r="C15" s="7">
        <v>36682.709999999992</v>
      </c>
      <c r="D15" s="7"/>
      <c r="E15" s="7"/>
      <c r="F15" s="7">
        <v>17902.93</v>
      </c>
      <c r="G15" s="7">
        <v>18779.78</v>
      </c>
      <c r="H15" s="7"/>
      <c r="I15" s="10" t="str" cm="1">
        <f t="array" ref="I15">+_xlfn.IFNA(IF(MID(B15,1,1)="1",_xlfn.IFS(G15&gt;H15,$L$4,H15&gt;G15,$L$5),IF(MID(A15,1,1)="1",_xlfn.IFS(G15&gt;H15,$L$4,H15&gt;G15,$L$5))),"A")</f>
        <v>A</v>
      </c>
    </row>
    <row r="16" spans="1:13" x14ac:dyDescent="0.2">
      <c r="A16" s="8" t="s">
        <v>23</v>
      </c>
      <c r="B16" s="9" t="s">
        <v>24</v>
      </c>
      <c r="C16" s="7">
        <v>36682.709999999992</v>
      </c>
      <c r="D16" s="7"/>
      <c r="E16" s="7"/>
      <c r="F16" s="7">
        <v>17902.93</v>
      </c>
      <c r="G16" s="7">
        <v>18779.78</v>
      </c>
      <c r="H16" s="7"/>
      <c r="I16" s="10" t="str" cm="1">
        <f t="array" ref="I16">+_xlfn.IFNA(IF(MID(B16,1,1)="1",_xlfn.IFS(G16&gt;H16,$L$4,H16&gt;G16,$L$5),IF(MID(A16,1,1)="1",_xlfn.IFS(G16&gt;H16,$L$4,H16&gt;G16,$L$5))),"A")</f>
        <v>A</v>
      </c>
    </row>
    <row r="17" spans="1:9" x14ac:dyDescent="0.2">
      <c r="B17" s="6" t="s">
        <v>25</v>
      </c>
      <c r="C17" s="7">
        <v>64068.21</v>
      </c>
      <c r="D17" s="7"/>
      <c r="E17" s="7"/>
      <c r="F17" s="7"/>
      <c r="G17" s="7">
        <v>64068.21</v>
      </c>
      <c r="H17" s="7"/>
      <c r="I17" s="10" t="str" cm="1">
        <f t="array" ref="I17">+_xlfn.IFNA(IF(MID(B17,1,1)="1",_xlfn.IFS(G17&gt;H17,$L$4,H17&gt;G17,$L$5),IF(MID(A17,1,1)="1",_xlfn.IFS(G17&gt;H17,$L$4,H17&gt;G17,$L$5))),"A")</f>
        <v>A</v>
      </c>
    </row>
    <row r="18" spans="1:9" x14ac:dyDescent="0.2">
      <c r="A18" s="8" t="s">
        <v>26</v>
      </c>
      <c r="B18" s="9" t="s">
        <v>27</v>
      </c>
      <c r="C18" s="7"/>
      <c r="D18" s="7"/>
      <c r="E18" s="7"/>
      <c r="F18" s="7"/>
      <c r="G18" s="7"/>
      <c r="H18" s="7"/>
      <c r="I18" s="10" t="str" cm="1">
        <f t="array" ref="I18">+_xlfn.IFNA(IF(MID(B18,1,1)="1",_xlfn.IFS(G18&gt;H18,$L$4,H18&gt;G18,$L$5),IF(MID(A18,1,1)="1",_xlfn.IFS(G18&gt;H18,$L$4,H18&gt;G18,$L$5))),"A")</f>
        <v>A</v>
      </c>
    </row>
    <row r="19" spans="1:9" x14ac:dyDescent="0.2">
      <c r="A19" s="8" t="s">
        <v>28</v>
      </c>
      <c r="B19" s="9" t="s">
        <v>29</v>
      </c>
      <c r="C19" s="7">
        <v>53301.72</v>
      </c>
      <c r="D19" s="7"/>
      <c r="E19" s="7"/>
      <c r="F19" s="7"/>
      <c r="G19" s="7">
        <v>53301.72</v>
      </c>
      <c r="H19" s="7"/>
      <c r="I19" s="10" t="str" cm="1">
        <f t="array" ref="I19">+_xlfn.IFNA(IF(MID(B19,1,1)="1",_xlfn.IFS(G19&gt;H19,$L$4,H19&gt;G19,$L$5),IF(MID(A19,1,1)="1",_xlfn.IFS(G19&gt;H19,$L$4,H19&gt;G19,$L$5))),"A")</f>
        <v>A</v>
      </c>
    </row>
    <row r="20" spans="1:9" x14ac:dyDescent="0.2">
      <c r="A20" s="8" t="s">
        <v>30</v>
      </c>
      <c r="B20" s="9" t="s">
        <v>31</v>
      </c>
      <c r="C20" s="7">
        <v>10766.49</v>
      </c>
      <c r="D20" s="7"/>
      <c r="E20" s="7"/>
      <c r="F20" s="7"/>
      <c r="G20" s="7">
        <v>10766.49</v>
      </c>
      <c r="H20" s="7"/>
      <c r="I20" s="10" t="str" cm="1">
        <f t="array" ref="I20">+_xlfn.IFNA(IF(MID(B20,1,1)="1",_xlfn.IFS(G20&gt;H20,$L$4,H20&gt;G20,$L$5),IF(MID(A20,1,1)="1",_xlfn.IFS(G20&gt;H20,$L$4,H20&gt;G20,$L$5))),"A")</f>
        <v>A</v>
      </c>
    </row>
    <row r="21" spans="1:9" x14ac:dyDescent="0.2">
      <c r="B21" s="6" t="s">
        <v>32</v>
      </c>
      <c r="C21" s="7">
        <v>298.18000000000029</v>
      </c>
      <c r="D21" s="7"/>
      <c r="E21" s="7">
        <v>49.9</v>
      </c>
      <c r="F21" s="7"/>
      <c r="G21" s="7">
        <v>348.08</v>
      </c>
      <c r="H21" s="7"/>
      <c r="I21" s="10" t="str" cm="1">
        <f t="array" ref="I21">+_xlfn.IFNA(IF(MID(B21,1,1)="1",_xlfn.IFS(G21&gt;H21,$L$4,H21&gt;G21,$L$5),IF(MID(A21,1,1)="1",_xlfn.IFS(G21&gt;H21,$L$4,H21&gt;G21,$L$5))),"A")</f>
        <v>A</v>
      </c>
    </row>
    <row r="22" spans="1:9" x14ac:dyDescent="0.2">
      <c r="A22" s="8" t="s">
        <v>33</v>
      </c>
      <c r="B22" s="9" t="s">
        <v>34</v>
      </c>
      <c r="C22" s="7">
        <v>298.18000000000029</v>
      </c>
      <c r="D22" s="7"/>
      <c r="E22" s="7">
        <v>49.9</v>
      </c>
      <c r="F22" s="7"/>
      <c r="G22" s="7">
        <v>348.08</v>
      </c>
      <c r="H22" s="7"/>
      <c r="I22" s="10" t="str" cm="1">
        <f t="array" ref="I22">+_xlfn.IFNA(IF(MID(B22,1,1)="1",_xlfn.IFS(G22&gt;H22,$L$4,H22&gt;G22,$L$5),IF(MID(A22,1,1)="1",_xlfn.IFS(G22&gt;H22,$L$4,H22&gt;G22,$L$5))),"A")</f>
        <v>A</v>
      </c>
    </row>
    <row r="23" spans="1:9" x14ac:dyDescent="0.2">
      <c r="B23" s="4" t="s">
        <v>35</v>
      </c>
      <c r="C23" s="5">
        <v>28707.34</v>
      </c>
      <c r="D23" s="5"/>
      <c r="E23" s="5"/>
      <c r="F23" s="5"/>
      <c r="G23" s="5">
        <v>28707.34</v>
      </c>
      <c r="H23" s="5"/>
      <c r="I23" s="10" t="str" cm="1">
        <f t="array" ref="I23">+_xlfn.IFNA(IF(MID(B23,1,1)="1",_xlfn.IFS(G23&gt;H23,$L$4,H23&gt;G23,$L$5),IF(MID(A23,1,1)="1",_xlfn.IFS(G23&gt;H23,$L$4,H23&gt;G23,$L$5))),"A")</f>
        <v>A</v>
      </c>
    </row>
    <row r="24" spans="1:9" x14ac:dyDescent="0.2">
      <c r="B24" s="6" t="s">
        <v>36</v>
      </c>
      <c r="C24" s="7">
        <v>28707.34</v>
      </c>
      <c r="D24" s="7"/>
      <c r="E24" s="7"/>
      <c r="F24" s="7"/>
      <c r="G24" s="7">
        <v>28707.34</v>
      </c>
      <c r="H24" s="7"/>
      <c r="I24" s="10" t="str" cm="1">
        <f t="array" ref="I24">+_xlfn.IFNA(IF(MID(B24,1,1)="1",_xlfn.IFS(G24&gt;H24,$L$4,H24&gt;G24,$L$5),IF(MID(A24,1,1)="1",_xlfn.IFS(G24&gt;H24,$L$4,H24&gt;G24,$L$5))),"A")</f>
        <v>A</v>
      </c>
    </row>
    <row r="25" spans="1:9" x14ac:dyDescent="0.2">
      <c r="A25" s="8" t="s">
        <v>37</v>
      </c>
      <c r="B25" s="9" t="s">
        <v>38</v>
      </c>
      <c r="C25" s="7">
        <v>28707.34</v>
      </c>
      <c r="D25" s="7"/>
      <c r="E25" s="7"/>
      <c r="F25" s="7"/>
      <c r="G25" s="7">
        <v>28707.34</v>
      </c>
      <c r="H25" s="7"/>
      <c r="I25" s="10" t="str" cm="1">
        <f t="array" ref="I25">+_xlfn.IFNA(IF(MID(B25,1,1)="1",_xlfn.IFS(G25&gt;H25,$L$4,H25&gt;G25,$L$5),IF(MID(A25,1,1)="1",_xlfn.IFS(G25&gt;H25,$L$4,H25&gt;G25,$L$5))),"A")</f>
        <v>A</v>
      </c>
    </row>
    <row r="26" spans="1:9" x14ac:dyDescent="0.2">
      <c r="B26" s="4" t="s">
        <v>39</v>
      </c>
      <c r="C26" s="5"/>
      <c r="D26" s="5"/>
      <c r="E26" s="5"/>
      <c r="F26" s="5"/>
      <c r="G26" s="5"/>
      <c r="H26" s="5"/>
      <c r="I26" s="10" t="str" cm="1">
        <f t="array" ref="I26">+_xlfn.IFNA(IF(MID(B26,1,1)="1",_xlfn.IFS(G26&gt;H26,$L$4,H26&gt;G26,$L$5),IF(MID(A26,1,1)="1",_xlfn.IFS(G26&gt;H26,$L$4,H26&gt;G26,$L$5))),"A")</f>
        <v>A</v>
      </c>
    </row>
    <row r="27" spans="1:9" x14ac:dyDescent="0.2">
      <c r="B27" s="6" t="s">
        <v>40</v>
      </c>
      <c r="C27" s="7"/>
      <c r="D27" s="7"/>
      <c r="E27" s="7"/>
      <c r="F27" s="7"/>
      <c r="G27" s="7"/>
      <c r="H27" s="7"/>
      <c r="I27" s="10" t="str" cm="1">
        <f t="array" ref="I27">+_xlfn.IFNA(IF(MID(B27,1,1)="1",_xlfn.IFS(G27&gt;H27,$L$4,H27&gt;G27,$L$5),IF(MID(A27,1,1)="1",_xlfn.IFS(G27&gt;H27,$L$4,H27&gt;G27,$L$5))),"A")</f>
        <v>A</v>
      </c>
    </row>
    <row r="28" spans="1:9" x14ac:dyDescent="0.2">
      <c r="A28" s="8" t="s">
        <v>41</v>
      </c>
      <c r="B28" s="9" t="s">
        <v>42</v>
      </c>
      <c r="C28" s="7"/>
      <c r="D28" s="7"/>
      <c r="E28" s="7"/>
      <c r="F28" s="7"/>
      <c r="G28" s="7"/>
      <c r="H28" s="7"/>
      <c r="I28" s="10" t="str" cm="1">
        <f t="array" ref="I28">+_xlfn.IFNA(IF(MID(B28,1,1)="1",_xlfn.IFS(G28&gt;H28,$L$4,H28&gt;G28,$L$5),IF(MID(A28,1,1)="1",_xlfn.IFS(G28&gt;H28,$L$4,H28&gt;G28,$L$5))),"A")</f>
        <v>A</v>
      </c>
    </row>
    <row r="29" spans="1:9" x14ac:dyDescent="0.2">
      <c r="B29" s="4" t="s">
        <v>43</v>
      </c>
      <c r="C29" s="5">
        <v>20785.020000000019</v>
      </c>
      <c r="D29" s="5"/>
      <c r="E29" s="5">
        <v>819.92</v>
      </c>
      <c r="F29" s="5"/>
      <c r="G29" s="5">
        <v>21604.94</v>
      </c>
      <c r="H29" s="5"/>
      <c r="I29" s="10" t="str" cm="1">
        <f t="array" ref="I29">+_xlfn.IFNA(IF(MID(B29,1,1)="1",_xlfn.IFS(G29&gt;H29,$L$4,H29&gt;G29,$L$5),IF(MID(A29,1,1)="1",_xlfn.IFS(G29&gt;H29,$L$4,H29&gt;G29,$L$5))),"A")</f>
        <v>A</v>
      </c>
    </row>
    <row r="30" spans="1:9" x14ac:dyDescent="0.2">
      <c r="B30" s="6" t="s">
        <v>44</v>
      </c>
      <c r="C30" s="7">
        <v>20785.020000000019</v>
      </c>
      <c r="D30" s="7"/>
      <c r="E30" s="7">
        <v>819.92</v>
      </c>
      <c r="F30" s="7"/>
      <c r="G30" s="7">
        <v>21604.94</v>
      </c>
      <c r="H30" s="7"/>
      <c r="I30" s="10" t="str" cm="1">
        <f t="array" ref="I30">+_xlfn.IFNA(IF(MID(B30,1,1)="1",_xlfn.IFS(G30&gt;H30,$L$4,H30&gt;G30,$L$5),IF(MID(A30,1,1)="1",_xlfn.IFS(G30&gt;H30,$L$4,H30&gt;G30,$L$5))),"A")</f>
        <v>A</v>
      </c>
    </row>
    <row r="31" spans="1:9" x14ac:dyDescent="0.2">
      <c r="A31" s="8" t="s">
        <v>45</v>
      </c>
      <c r="B31" s="9" t="s">
        <v>46</v>
      </c>
      <c r="C31" s="7">
        <v>20785.020000000019</v>
      </c>
      <c r="D31" s="7"/>
      <c r="E31" s="7">
        <v>819.92</v>
      </c>
      <c r="F31" s="7"/>
      <c r="G31" s="7">
        <v>21604.94</v>
      </c>
      <c r="H31" s="7"/>
      <c r="I31" s="10" t="str" cm="1">
        <f t="array" ref="I31">+_xlfn.IFNA(IF(MID(B31,1,1)="1",_xlfn.IFS(G31&gt;H31,$L$4,H31&gt;G31,$L$5),IF(MID(A31,1,1)="1",_xlfn.IFS(G31&gt;H31,$L$4,H31&gt;G31,$L$5))),"A")</f>
        <v>A</v>
      </c>
    </row>
    <row r="32" spans="1:9" x14ac:dyDescent="0.2">
      <c r="B32" s="4" t="s">
        <v>47</v>
      </c>
      <c r="C32" s="5">
        <v>2200000</v>
      </c>
      <c r="D32" s="5"/>
      <c r="E32" s="5"/>
      <c r="F32" s="5"/>
      <c r="G32" s="5">
        <v>2200000</v>
      </c>
      <c r="H32" s="5"/>
      <c r="I32" s="10" t="str" cm="1">
        <f t="array" ref="I32">+_xlfn.IFNA(IF(MID(B32,1,1)="1",_xlfn.IFS(G32&gt;H32,$L$4,H32&gt;G32,$L$5),IF(MID(A32,1,1)="1",_xlfn.IFS(G32&gt;H32,$L$4,H32&gt;G32,$L$5))),"A")</f>
        <v>A</v>
      </c>
    </row>
    <row r="33" spans="1:9" x14ac:dyDescent="0.2">
      <c r="B33" s="6" t="s">
        <v>48</v>
      </c>
      <c r="C33" s="7">
        <v>2200000</v>
      </c>
      <c r="D33" s="7"/>
      <c r="E33" s="7"/>
      <c r="F33" s="7"/>
      <c r="G33" s="7">
        <v>2200000</v>
      </c>
      <c r="H33" s="7"/>
      <c r="I33" s="10" t="str" cm="1">
        <f t="array" ref="I33">+_xlfn.IFNA(IF(MID(B33,1,1)="1",_xlfn.IFS(G33&gt;H33,$L$4,H33&gt;G33,$L$5),IF(MID(A33,1,1)="1",_xlfn.IFS(G33&gt;H33,$L$4,H33&gt;G33,$L$5))),"A")</f>
        <v>A</v>
      </c>
    </row>
    <row r="34" spans="1:9" x14ac:dyDescent="0.2">
      <c r="A34" s="8" t="s">
        <v>49</v>
      </c>
      <c r="B34" s="9" t="s">
        <v>50</v>
      </c>
      <c r="C34" s="7">
        <v>2200000</v>
      </c>
      <c r="D34" s="7"/>
      <c r="E34" s="7"/>
      <c r="F34" s="7"/>
      <c r="G34" s="7">
        <v>2200000</v>
      </c>
      <c r="H34" s="7"/>
      <c r="I34" s="10" t="str" cm="1">
        <f t="array" ref="I34">+_xlfn.IFNA(IF(MID(B34,1,1)="1",_xlfn.IFS(G34&gt;H34,$L$4,H34&gt;G34,$L$5),IF(MID(A34,1,1)="1",_xlfn.IFS(G34&gt;H34,$L$4,H34&gt;G34,$L$5))),"A")</f>
        <v>A</v>
      </c>
    </row>
    <row r="35" spans="1:9" x14ac:dyDescent="0.2">
      <c r="B35" s="4" t="s">
        <v>51</v>
      </c>
      <c r="C35" s="5">
        <v>39653.449999999997</v>
      </c>
      <c r="D35" s="5"/>
      <c r="E35" s="5"/>
      <c r="F35" s="5"/>
      <c r="G35" s="5">
        <v>39653.449999999997</v>
      </c>
      <c r="H35" s="5"/>
      <c r="I35" s="10" t="str" cm="1">
        <f t="array" ref="I35">+_xlfn.IFNA(IF(MID(B35,1,1)="1",_xlfn.IFS(G35&gt;H35,$L$4,H35&gt;G35,$L$5),IF(MID(A35,1,1)="1",_xlfn.IFS(G35&gt;H35,$L$4,H35&gt;G35,$L$5))),"A")</f>
        <v>A</v>
      </c>
    </row>
    <row r="36" spans="1:9" x14ac:dyDescent="0.2">
      <c r="B36" s="6" t="s">
        <v>52</v>
      </c>
      <c r="C36" s="7">
        <v>39653.449999999997</v>
      </c>
      <c r="D36" s="7"/>
      <c r="E36" s="7"/>
      <c r="F36" s="7"/>
      <c r="G36" s="7">
        <v>39653.449999999997</v>
      </c>
      <c r="H36" s="7"/>
      <c r="I36" s="10" t="str" cm="1">
        <f t="array" ref="I36">+_xlfn.IFNA(IF(MID(B36,1,1)="1",_xlfn.IFS(G36&gt;H36,$L$4,H36&gt;G36,$L$5),IF(MID(A36,1,1)="1",_xlfn.IFS(G36&gt;H36,$L$4,H36&gt;G36,$L$5))),"A")</f>
        <v>A</v>
      </c>
    </row>
    <row r="37" spans="1:9" x14ac:dyDescent="0.2">
      <c r="A37" s="8" t="s">
        <v>53</v>
      </c>
      <c r="B37" s="9" t="s">
        <v>54</v>
      </c>
      <c r="C37" s="7">
        <v>39653.449999999997</v>
      </c>
      <c r="D37" s="7"/>
      <c r="E37" s="7"/>
      <c r="F37" s="7"/>
      <c r="G37" s="7">
        <v>39653.449999999997</v>
      </c>
      <c r="H37" s="7"/>
      <c r="I37" s="10" t="str" cm="1">
        <f t="array" ref="I37">+_xlfn.IFNA(IF(MID(B37,1,1)="1",_xlfn.IFS(G37&gt;H37,$L$4,H37&gt;G37,$L$5),IF(MID(A37,1,1)="1",_xlfn.IFS(G37&gt;H37,$L$4,H37&gt;G37,$L$5))),"A")</f>
        <v>A</v>
      </c>
    </row>
    <row r="38" spans="1:9" x14ac:dyDescent="0.2">
      <c r="B38" s="4" t="s">
        <v>55</v>
      </c>
      <c r="C38" s="5"/>
      <c r="D38" s="5">
        <v>323820.37</v>
      </c>
      <c r="E38" s="5"/>
      <c r="F38" s="5"/>
      <c r="G38" s="5"/>
      <c r="H38" s="5">
        <v>323820.37</v>
      </c>
      <c r="I38" s="10" t="str" cm="1">
        <f t="array" ref="I38">+_xlfn.IFNA(IF(MID(B38,1,1)="1",_xlfn.IFS(G38&gt;H38,$L$4,H38&gt;G38,$L$5),IF(MID(A38,1,1)="1",_xlfn.IFS(G38&gt;H38,$L$4,H38&gt;G38,$L$5))),"A")</f>
        <v>B</v>
      </c>
    </row>
    <row r="39" spans="1:9" x14ac:dyDescent="0.2">
      <c r="B39" s="6" t="s">
        <v>56</v>
      </c>
      <c r="C39" s="7"/>
      <c r="D39" s="7">
        <v>284166.77</v>
      </c>
      <c r="E39" s="7"/>
      <c r="F39" s="7"/>
      <c r="G39" s="7"/>
      <c r="H39" s="7">
        <v>284166.77</v>
      </c>
      <c r="I39" s="10" t="str" cm="1">
        <f t="array" ref="I39">+_xlfn.IFNA(IF(MID(B39,1,1)="1",_xlfn.IFS(G39&gt;H39,$L$4,H39&gt;G39,$L$5),IF(MID(A39,1,1)="1",_xlfn.IFS(G39&gt;H39,$L$4,H39&gt;G39,$L$5))),"A")</f>
        <v>B</v>
      </c>
    </row>
    <row r="40" spans="1:9" x14ac:dyDescent="0.2">
      <c r="A40" s="8" t="s">
        <v>57</v>
      </c>
      <c r="B40" s="9" t="s">
        <v>58</v>
      </c>
      <c r="C40" s="7"/>
      <c r="D40" s="7">
        <v>284166.77</v>
      </c>
      <c r="E40" s="7"/>
      <c r="F40" s="7"/>
      <c r="G40" s="7"/>
      <c r="H40" s="7">
        <v>284166.77</v>
      </c>
      <c r="I40" s="10" t="str" cm="1">
        <f t="array" ref="I40">+_xlfn.IFNA(IF(MID(B40,1,1)="1",_xlfn.IFS(G40&gt;H40,$L$4,H40&gt;G40,$L$5),IF(MID(A40,1,1)="1",_xlfn.IFS(G40&gt;H40,$L$4,H40&gt;G40,$L$5))),"A")</f>
        <v>B</v>
      </c>
    </row>
    <row r="41" spans="1:9" x14ac:dyDescent="0.2">
      <c r="B41" s="6" t="s">
        <v>59</v>
      </c>
      <c r="C41" s="7"/>
      <c r="D41" s="7">
        <v>39653.599999999999</v>
      </c>
      <c r="E41" s="7"/>
      <c r="F41" s="7"/>
      <c r="G41" s="7"/>
      <c r="H41" s="7">
        <v>39653.599999999999</v>
      </c>
      <c r="I41" s="10" t="str" cm="1">
        <f t="array" ref="I41">+_xlfn.IFNA(IF(MID(B41,1,1)="1",_xlfn.IFS(G41&gt;H41,$L$4,H41&gt;G41,$L$5),IF(MID(A41,1,1)="1",_xlfn.IFS(G41&gt;H41,$L$4,H41&gt;G41,$L$5))),"A")</f>
        <v>B</v>
      </c>
    </row>
    <row r="42" spans="1:9" x14ac:dyDescent="0.2">
      <c r="A42" s="8" t="s">
        <v>60</v>
      </c>
      <c r="B42" s="9" t="s">
        <v>61</v>
      </c>
      <c r="C42" s="7"/>
      <c r="D42" s="7">
        <v>39653.599999999999</v>
      </c>
      <c r="E42" s="7"/>
      <c r="F42" s="7"/>
      <c r="G42" s="7"/>
      <c r="H42" s="7">
        <v>39653.599999999999</v>
      </c>
      <c r="I42" s="10" t="str" cm="1">
        <f t="array" ref="I42">+_xlfn.IFNA(IF(MID(B42,1,1)="1",_xlfn.IFS(G42&gt;H42,$L$4,H42&gt;G42,$L$5),IF(MID(A42,1,1)="1",_xlfn.IFS(G42&gt;H42,$L$4,H42&gt;G42,$L$5))),"A")</f>
        <v>B</v>
      </c>
    </row>
    <row r="43" spans="1:9" ht="17" x14ac:dyDescent="0.25">
      <c r="B43" s="2" t="s">
        <v>62</v>
      </c>
      <c r="C43" s="3">
        <v>0.01</v>
      </c>
      <c r="D43" s="3">
        <v>267942.38000000041</v>
      </c>
      <c r="E43" s="3">
        <v>38805.86</v>
      </c>
      <c r="F43" s="3">
        <v>41750.300000000003</v>
      </c>
      <c r="G43" s="3">
        <v>0.01</v>
      </c>
      <c r="H43" s="3">
        <v>270886.82</v>
      </c>
      <c r="I43" s="10" t="str" cm="1">
        <f t="array" ref="I43">+_xlfn.IFNA(IF(MID(B43,1,1)="2",_xlfn.IFS(G43&gt;H43,$L$6,H43&gt;G43,$L$7),IF(MID(A43,1,1)="2",_xlfn.IFS(G43&gt;H43,$L$6,H43&gt;G43,$L$7))),"D")</f>
        <v>D</v>
      </c>
    </row>
    <row r="44" spans="1:9" x14ac:dyDescent="0.2">
      <c r="B44" s="4" t="s">
        <v>63</v>
      </c>
      <c r="C44" s="5"/>
      <c r="D44" s="5">
        <v>96087.360000000335</v>
      </c>
      <c r="E44" s="5"/>
      <c r="F44" s="5">
        <v>5944.44</v>
      </c>
      <c r="G44" s="5"/>
      <c r="H44" s="5">
        <v>102031.8</v>
      </c>
      <c r="I44" s="10" t="str" cm="1">
        <f t="array" ref="I44">+_xlfn.IFNA(IF(MID(B44,1,1)="2",_xlfn.IFS(G44&gt;H44,$L$6,H44&gt;G44,$L$7),IF(MID(A44,1,1)="2",_xlfn.IFS(G44&gt;H44,$L$6,H44&gt;G44,$L$7))),"D")</f>
        <v>D</v>
      </c>
    </row>
    <row r="45" spans="1:9" x14ac:dyDescent="0.2">
      <c r="B45" s="6" t="s">
        <v>64</v>
      </c>
      <c r="C45" s="7"/>
      <c r="D45" s="7">
        <v>93078.360000000335</v>
      </c>
      <c r="E45" s="7"/>
      <c r="F45" s="7">
        <v>5944.44</v>
      </c>
      <c r="G45" s="7"/>
      <c r="H45" s="7">
        <v>99022.8</v>
      </c>
      <c r="I45" s="10" t="str" cm="1">
        <f t="array" ref="I45">+_xlfn.IFNA(IF(MID(B45,1,1)="2",_xlfn.IFS(G45&gt;H45,$L$6,H45&gt;G45,$L$7),IF(MID(A45,1,1)="2",_xlfn.IFS(G45&gt;H45,$L$6,H45&gt;G45,$L$7))),"D")</f>
        <v>D</v>
      </c>
    </row>
    <row r="46" spans="1:9" x14ac:dyDescent="0.2">
      <c r="A46" s="8" t="s">
        <v>65</v>
      </c>
      <c r="B46" s="9" t="s">
        <v>66</v>
      </c>
      <c r="C46" s="7"/>
      <c r="D46" s="7">
        <v>93078.360000000335</v>
      </c>
      <c r="E46" s="7"/>
      <c r="F46" s="7">
        <v>5944.44</v>
      </c>
      <c r="G46" s="7"/>
      <c r="H46" s="7">
        <v>99022.8</v>
      </c>
      <c r="I46" s="10" t="str" cm="1">
        <f t="array" ref="I46">+_xlfn.IFNA(IF(MID(B46,1,1)="2",_xlfn.IFS(G46&gt;H46,$L$6,H46&gt;G46,$L$7),IF(MID(A46,1,1)="2",_xlfn.IFS(G46&gt;H46,$L$6,H46&gt;G46,$L$7))),"D")</f>
        <v>D</v>
      </c>
    </row>
    <row r="47" spans="1:9" x14ac:dyDescent="0.2">
      <c r="B47" s="6" t="s">
        <v>67</v>
      </c>
      <c r="C47" s="7"/>
      <c r="D47" s="7">
        <v>3009</v>
      </c>
      <c r="E47" s="7"/>
      <c r="F47" s="7"/>
      <c r="G47" s="7"/>
      <c r="H47" s="7">
        <v>3009</v>
      </c>
      <c r="I47" s="10" t="str" cm="1">
        <f t="array" ref="I47">+_xlfn.IFNA(IF(MID(B47,1,1)="2",_xlfn.IFS(G47&gt;H47,$L$6,H47&gt;G47,$L$7),IF(MID(A47,1,1)="2",_xlfn.IFS(G47&gt;H47,$L$6,H47&gt;G47,$L$7))),"D")</f>
        <v>D</v>
      </c>
    </row>
    <row r="48" spans="1:9" x14ac:dyDescent="0.2">
      <c r="A48" s="8" t="s">
        <v>68</v>
      </c>
      <c r="B48" s="9" t="s">
        <v>69</v>
      </c>
      <c r="C48" s="7"/>
      <c r="D48" s="7">
        <v>3009</v>
      </c>
      <c r="E48" s="7"/>
      <c r="F48" s="7"/>
      <c r="G48" s="7"/>
      <c r="H48" s="7">
        <v>3009</v>
      </c>
      <c r="I48" s="10" t="str" cm="1">
        <f t="array" ref="I48">+_xlfn.IFNA(IF(MID(B48,1,1)="2",_xlfn.IFS(G48&gt;H48,$L$6,H48&gt;G48,$L$7),IF(MID(A48,1,1)="2",_xlfn.IFS(G48&gt;H48,$L$6,H48&gt;G48,$L$7))),"D")</f>
        <v>D</v>
      </c>
    </row>
    <row r="49" spans="1:9" x14ac:dyDescent="0.2">
      <c r="B49" s="4" t="s">
        <v>70</v>
      </c>
      <c r="C49" s="5">
        <v>0.01</v>
      </c>
      <c r="D49" s="5">
        <v>153663.91</v>
      </c>
      <c r="E49" s="5"/>
      <c r="F49" s="5"/>
      <c r="G49" s="5">
        <v>0.01</v>
      </c>
      <c r="H49" s="5">
        <v>153663.91</v>
      </c>
      <c r="I49" s="10" t="str" cm="1">
        <f t="array" ref="I49">+_xlfn.IFNA(IF(MID(B49,1,1)="2",_xlfn.IFS(G49&gt;H49,$L$6,H49&gt;G49,$L$7),IF(MID(A49,1,1)="2",_xlfn.IFS(G49&gt;H49,$L$6,H49&gt;G49,$L$7))),"D")</f>
        <v>D</v>
      </c>
    </row>
    <row r="50" spans="1:9" x14ac:dyDescent="0.2">
      <c r="B50" s="6" t="s">
        <v>71</v>
      </c>
      <c r="C50" s="7">
        <v>0.01</v>
      </c>
      <c r="D50" s="7">
        <v>153658.69</v>
      </c>
      <c r="E50" s="7"/>
      <c r="F50" s="7"/>
      <c r="G50" s="7">
        <v>0.01</v>
      </c>
      <c r="H50" s="7">
        <v>153658.69</v>
      </c>
      <c r="I50" s="10" t="str" cm="1">
        <f t="array" ref="I50">+_xlfn.IFNA(IF(MID(B50,1,1)="2",_xlfn.IFS(G50&gt;H50,$L$6,H50&gt;G50,$L$7),IF(MID(A50,1,1)="2",_xlfn.IFS(G50&gt;H50,$L$6,H50&gt;G50,$L$7))),"D")</f>
        <v>D</v>
      </c>
    </row>
    <row r="51" spans="1:9" x14ac:dyDescent="0.2">
      <c r="A51" s="8" t="s">
        <v>72</v>
      </c>
      <c r="B51" s="9" t="s">
        <v>73</v>
      </c>
      <c r="C51" s="7"/>
      <c r="D51" s="7"/>
      <c r="E51" s="7"/>
      <c r="F51" s="7"/>
      <c r="G51" s="7"/>
      <c r="H51" s="7"/>
      <c r="I51" s="10" t="str" cm="1">
        <f t="array" ref="I51">+_xlfn.IFNA(IF(MID(B51,1,1)="2",_xlfn.IFS(G51&gt;H51,$L$6,H51&gt;G51,$L$7),IF(MID(A51,1,1)="2",_xlfn.IFS(G51&gt;H51,$L$6,H51&gt;G51,$L$7))),"D")</f>
        <v>D</v>
      </c>
    </row>
    <row r="52" spans="1:9" x14ac:dyDescent="0.2">
      <c r="A52" s="8" t="s">
        <v>74</v>
      </c>
      <c r="B52" s="9" t="s">
        <v>75</v>
      </c>
      <c r="C52" s="7">
        <v>0.01</v>
      </c>
      <c r="D52" s="7"/>
      <c r="E52" s="7"/>
      <c r="F52" s="7"/>
      <c r="G52" s="7">
        <v>0.01</v>
      </c>
      <c r="H52" s="7"/>
      <c r="I52" s="10" t="str" cm="1">
        <f t="array" ref="I52">+_xlfn.IFNA(IF(MID(B52,1,1)="2",_xlfn.IFS(G52&gt;H52,$L$6,H52&gt;G52,$L$7),IF(MID(A52,1,1)="2",_xlfn.IFS(G52&gt;H52,$L$6,H52&gt;G52,$L$7))),"D")</f>
        <v>C</v>
      </c>
    </row>
    <row r="53" spans="1:9" x14ac:dyDescent="0.2">
      <c r="A53" s="8" t="s">
        <v>76</v>
      </c>
      <c r="B53" s="9" t="s">
        <v>77</v>
      </c>
      <c r="C53" s="7"/>
      <c r="D53" s="7">
        <v>25191.99</v>
      </c>
      <c r="E53" s="7"/>
      <c r="F53" s="7"/>
      <c r="G53" s="7"/>
      <c r="H53" s="7">
        <v>25191.99</v>
      </c>
      <c r="I53" s="10" t="str" cm="1">
        <f t="array" ref="I53">+_xlfn.IFNA(IF(MID(B53,1,1)="2",_xlfn.IFS(G53&gt;H53,$L$6,H53&gt;G53,$L$7),IF(MID(A53,1,1)="2",_xlfn.IFS(G53&gt;H53,$L$6,H53&gt;G53,$L$7))),"D")</f>
        <v>D</v>
      </c>
    </row>
    <row r="54" spans="1:9" x14ac:dyDescent="0.2">
      <c r="A54" s="8" t="s">
        <v>78</v>
      </c>
      <c r="B54" s="9" t="s">
        <v>79</v>
      </c>
      <c r="C54" s="7"/>
      <c r="D54" s="7">
        <v>16240</v>
      </c>
      <c r="E54" s="7"/>
      <c r="F54" s="7"/>
      <c r="G54" s="7"/>
      <c r="H54" s="7">
        <v>16240</v>
      </c>
      <c r="I54" s="10" t="str" cm="1">
        <f t="array" ref="I54">+_xlfn.IFNA(IF(MID(B54,1,1)="2",_xlfn.IFS(G54&gt;H54,$L$6,H54&gt;G54,$L$7),IF(MID(A54,1,1)="2",_xlfn.IFS(G54&gt;H54,$L$6,H54&gt;G54,$L$7))),"D")</f>
        <v>D</v>
      </c>
    </row>
    <row r="55" spans="1:9" x14ac:dyDescent="0.2">
      <c r="A55" s="8" t="s">
        <v>80</v>
      </c>
      <c r="B55" s="9" t="s">
        <v>81</v>
      </c>
      <c r="C55" s="7"/>
      <c r="D55" s="7">
        <v>104198.7</v>
      </c>
      <c r="E55" s="7"/>
      <c r="F55" s="7"/>
      <c r="G55" s="7"/>
      <c r="H55" s="7">
        <v>104198.7</v>
      </c>
      <c r="I55" s="10" t="str" cm="1">
        <f t="array" ref="I55">+_xlfn.IFNA(IF(MID(B55,1,1)="2",_xlfn.IFS(G55&gt;H55,$L$6,H55&gt;G55,$L$7),IF(MID(A55,1,1)="2",_xlfn.IFS(G55&gt;H55,$L$6,H55&gt;G55,$L$7))),"D")</f>
        <v>D</v>
      </c>
    </row>
    <row r="56" spans="1:9" x14ac:dyDescent="0.2">
      <c r="A56" s="8" t="s">
        <v>82</v>
      </c>
      <c r="B56" s="9" t="s">
        <v>83</v>
      </c>
      <c r="C56" s="7"/>
      <c r="D56" s="7">
        <v>7868</v>
      </c>
      <c r="E56" s="7"/>
      <c r="F56" s="7"/>
      <c r="G56" s="7"/>
      <c r="H56" s="7">
        <v>7868</v>
      </c>
      <c r="I56" s="10" t="str" cm="1">
        <f t="array" ref="I56">+_xlfn.IFNA(IF(MID(B56,1,1)="2",_xlfn.IFS(G56&gt;H56,$L$6,H56&gt;G56,$L$7),IF(MID(A56,1,1)="2",_xlfn.IFS(G56&gt;H56,$L$6,H56&gt;G56,$L$7))),"D")</f>
        <v>D</v>
      </c>
    </row>
    <row r="57" spans="1:9" x14ac:dyDescent="0.2">
      <c r="A57" s="8" t="s">
        <v>84</v>
      </c>
      <c r="B57" s="9" t="s">
        <v>85</v>
      </c>
      <c r="C57" s="7"/>
      <c r="D57" s="7">
        <v>160</v>
      </c>
      <c r="E57" s="7"/>
      <c r="F57" s="7"/>
      <c r="G57" s="7"/>
      <c r="H57" s="7">
        <v>160</v>
      </c>
      <c r="I57" s="10" t="str" cm="1">
        <f t="array" ref="I57">+_xlfn.IFNA(IF(MID(B57,1,1)="2",_xlfn.IFS(G57&gt;H57,$L$6,H57&gt;G57,$L$7),IF(MID(A57,1,1)="2",_xlfn.IFS(G57&gt;H57,$L$6,H57&gt;G57,$L$7))),"D")</f>
        <v>D</v>
      </c>
    </row>
    <row r="58" spans="1:9" x14ac:dyDescent="0.2">
      <c r="B58" s="6" t="s">
        <v>86</v>
      </c>
      <c r="C58" s="7"/>
      <c r="D58" s="7">
        <v>5.2200000000011642</v>
      </c>
      <c r="E58" s="7"/>
      <c r="F58" s="7"/>
      <c r="G58" s="7"/>
      <c r="H58" s="7">
        <v>5.22</v>
      </c>
      <c r="I58" s="10" t="str" cm="1">
        <f t="array" ref="I58">+_xlfn.IFNA(IF(MID(B58,1,1)="2",_xlfn.IFS(G58&gt;H58,$L$6,H58&gt;G58,$L$7),IF(MID(A58,1,1)="2",_xlfn.IFS(G58&gt;H58,$L$6,H58&gt;G58,$L$7))),"D")</f>
        <v>D</v>
      </c>
    </row>
    <row r="59" spans="1:9" x14ac:dyDescent="0.2">
      <c r="A59" s="8" t="s">
        <v>87</v>
      </c>
      <c r="B59" s="9" t="s">
        <v>88</v>
      </c>
      <c r="C59" s="7"/>
      <c r="D59" s="7">
        <v>5.2200000000011642</v>
      </c>
      <c r="E59" s="7"/>
      <c r="F59" s="7"/>
      <c r="G59" s="7"/>
      <c r="H59" s="7">
        <v>5.22</v>
      </c>
      <c r="I59" s="10" t="str" cm="1">
        <f t="array" ref="I59">+_xlfn.IFNA(IF(MID(B59,1,1)="2",_xlfn.IFS(G59&gt;H59,$L$6,H59&gt;G59,$L$7),IF(MID(A59,1,1)="2",_xlfn.IFS(G59&gt;H59,$L$6,H59&gt;G59,$L$7))),"D")</f>
        <v>D</v>
      </c>
    </row>
    <row r="60" spans="1:9" x14ac:dyDescent="0.2">
      <c r="B60" s="4" t="s">
        <v>89</v>
      </c>
      <c r="C60" s="5"/>
      <c r="D60" s="5"/>
      <c r="E60" s="5">
        <v>17902.93</v>
      </c>
      <c r="F60" s="5">
        <v>17902.93</v>
      </c>
      <c r="G60" s="5"/>
      <c r="H60" s="5"/>
      <c r="I60" s="10" t="str" cm="1">
        <f t="array" ref="I60">+_xlfn.IFNA(IF(MID(B60,1,1)="2",_xlfn.IFS(G60&gt;H60,$L$6,H60&gt;G60,$L$7),IF(MID(A60,1,1)="2",_xlfn.IFS(G60&gt;H60,$L$6,H60&gt;G60,$L$7))),"D")</f>
        <v>D</v>
      </c>
    </row>
    <row r="61" spans="1:9" x14ac:dyDescent="0.2">
      <c r="B61" s="6" t="s">
        <v>90</v>
      </c>
      <c r="C61" s="7"/>
      <c r="D61" s="7"/>
      <c r="E61" s="7">
        <v>17902.93</v>
      </c>
      <c r="F61" s="7">
        <v>17902.93</v>
      </c>
      <c r="G61" s="7"/>
      <c r="H61" s="7"/>
      <c r="I61" s="10" t="str" cm="1">
        <f t="array" ref="I61">+_xlfn.IFNA(IF(MID(B61,1,1)="2",_xlfn.IFS(G61&gt;H61,$L$6,H61&gt;G61,$L$7),IF(MID(A61,1,1)="2",_xlfn.IFS(G61&gt;H61,$L$6,H61&gt;G61,$L$7))),"D")</f>
        <v>D</v>
      </c>
    </row>
    <row r="62" spans="1:9" x14ac:dyDescent="0.2">
      <c r="A62" s="8" t="s">
        <v>91</v>
      </c>
      <c r="B62" s="9" t="s">
        <v>92</v>
      </c>
      <c r="C62" s="7"/>
      <c r="D62" s="7"/>
      <c r="E62" s="7">
        <v>17902.93</v>
      </c>
      <c r="F62" s="7">
        <v>17902.93</v>
      </c>
      <c r="G62" s="7"/>
      <c r="H62" s="7"/>
      <c r="I62" s="10" t="str" cm="1">
        <f t="array" ref="I62">+_xlfn.IFNA(IF(MID(B62,1,1)="2",_xlfn.IFS(G62&gt;H62,$L$6,H62&gt;G62,$L$7),IF(MID(A62,1,1)="2",_xlfn.IFS(G62&gt;H62,$L$6,H62&gt;G62,$L$7))),"D")</f>
        <v>D</v>
      </c>
    </row>
    <row r="63" spans="1:9" x14ac:dyDescent="0.2">
      <c r="B63" s="4" t="s">
        <v>93</v>
      </c>
      <c r="C63" s="5"/>
      <c r="D63" s="5"/>
      <c r="E63" s="5">
        <v>17902.93</v>
      </c>
      <c r="F63" s="5">
        <v>17902.93</v>
      </c>
      <c r="G63" s="5"/>
      <c r="H63" s="5"/>
      <c r="I63" s="10" t="str" cm="1">
        <f t="array" ref="I63">+_xlfn.IFNA(IF(MID(B63,1,1)="2",_xlfn.IFS(G63&gt;H63,$L$6,H63&gt;G63,$L$7),IF(MID(A63,1,1)="2",_xlfn.IFS(G63&gt;H63,$L$6,H63&gt;G63,$L$7))),"D")</f>
        <v>D</v>
      </c>
    </row>
    <row r="64" spans="1:9" x14ac:dyDescent="0.2">
      <c r="B64" s="6" t="s">
        <v>94</v>
      </c>
      <c r="C64" s="7"/>
      <c r="D64" s="7"/>
      <c r="E64" s="7">
        <v>17902.93</v>
      </c>
      <c r="F64" s="7">
        <v>17902.93</v>
      </c>
      <c r="G64" s="7"/>
      <c r="H64" s="7"/>
      <c r="I64" s="10" t="str" cm="1">
        <f t="array" ref="I64">+_xlfn.IFNA(IF(MID(B64,1,1)="2",_xlfn.IFS(G64&gt;H64,$L$6,H64&gt;G64,$L$7),IF(MID(A64,1,1)="2",_xlfn.IFS(G64&gt;H64,$L$6,H64&gt;G64,$L$7))),"D")</f>
        <v>D</v>
      </c>
    </row>
    <row r="65" spans="1:9" x14ac:dyDescent="0.2">
      <c r="A65" s="8" t="s">
        <v>95</v>
      </c>
      <c r="B65" s="9" t="s">
        <v>96</v>
      </c>
      <c r="C65" s="7"/>
      <c r="D65" s="7"/>
      <c r="E65" s="7">
        <v>17902.93</v>
      </c>
      <c r="F65" s="7">
        <v>17902.93</v>
      </c>
      <c r="G65" s="7"/>
      <c r="H65" s="7"/>
      <c r="I65" s="10" t="str" cm="1">
        <f t="array" ref="I65">+_xlfn.IFNA(IF(MID(B65,1,1)="2",_xlfn.IFS(G65&gt;H65,$L$6,H65&gt;G65,$L$7),IF(MID(A65,1,1)="2",_xlfn.IFS(G65&gt;H65,$L$6,H65&gt;G65,$L$7))),"D")</f>
        <v>D</v>
      </c>
    </row>
    <row r="66" spans="1:9" x14ac:dyDescent="0.2">
      <c r="B66" s="4" t="s">
        <v>97</v>
      </c>
      <c r="C66" s="5"/>
      <c r="D66" s="5"/>
      <c r="E66" s="5"/>
      <c r="F66" s="5"/>
      <c r="G66" s="5"/>
      <c r="H66" s="5"/>
      <c r="I66" s="10" t="str" cm="1">
        <f t="array" ref="I66">+_xlfn.IFNA(IF(MID(B66,1,1)="2",_xlfn.IFS(G66&gt;H66,$L$6,H66&gt;G66,$L$7),IF(MID(A66,1,1)="2",_xlfn.IFS(G66&gt;H66,$L$6,H66&gt;G66,$L$7))),"D")</f>
        <v>D</v>
      </c>
    </row>
    <row r="67" spans="1:9" x14ac:dyDescent="0.2">
      <c r="B67" s="6" t="s">
        <v>98</v>
      </c>
      <c r="C67" s="7"/>
      <c r="D67" s="7"/>
      <c r="E67" s="7"/>
      <c r="F67" s="7"/>
      <c r="G67" s="7"/>
      <c r="H67" s="7"/>
      <c r="I67" s="10" t="str" cm="1">
        <f t="array" ref="I67">+_xlfn.IFNA(IF(MID(B67,1,1)="2",_xlfn.IFS(G67&gt;H67,$L$6,H67&gt;G67,$L$7),IF(MID(A67,1,1)="2",_xlfn.IFS(G67&gt;H67,$L$6,H67&gt;G67,$L$7))),"D")</f>
        <v>D</v>
      </c>
    </row>
    <row r="68" spans="1:9" x14ac:dyDescent="0.2">
      <c r="A68" s="8" t="s">
        <v>99</v>
      </c>
      <c r="B68" s="9" t="s">
        <v>100</v>
      </c>
      <c r="C68" s="7"/>
      <c r="D68" s="7"/>
      <c r="E68" s="7"/>
      <c r="F68" s="7"/>
      <c r="G68" s="7"/>
      <c r="H68" s="7"/>
      <c r="I68" s="10" t="str" cm="1">
        <f t="array" ref="I68">+_xlfn.IFNA(IF(MID(B68,1,1)="2",_xlfn.IFS(G68&gt;H68,$L$6,H68&gt;G68,$L$7),IF(MID(A68,1,1)="2",_xlfn.IFS(G68&gt;H68,$L$6,H68&gt;G68,$L$7))),"D")</f>
        <v>D</v>
      </c>
    </row>
    <row r="69" spans="1:9" x14ac:dyDescent="0.2">
      <c r="B69" s="4" t="s">
        <v>101</v>
      </c>
      <c r="C69" s="5"/>
      <c r="D69" s="5">
        <v>18190.419999999991</v>
      </c>
      <c r="E69" s="5">
        <v>3000</v>
      </c>
      <c r="F69" s="5"/>
      <c r="G69" s="5"/>
      <c r="H69" s="5">
        <v>15190.42</v>
      </c>
      <c r="I69" s="10" t="str" cm="1">
        <f t="array" ref="I69">+_xlfn.IFNA(IF(MID(B69,1,1)="2",_xlfn.IFS(G69&gt;H69,$L$6,H69&gt;G69,$L$7),IF(MID(A69,1,1)="2",_xlfn.IFS(G69&gt;H69,$L$6,H69&gt;G69,$L$7))),"D")</f>
        <v>D</v>
      </c>
    </row>
    <row r="70" spans="1:9" x14ac:dyDescent="0.2">
      <c r="B70" s="6" t="s">
        <v>102</v>
      </c>
      <c r="C70" s="7"/>
      <c r="D70" s="7">
        <v>15182.95999999999</v>
      </c>
      <c r="E70" s="7"/>
      <c r="F70" s="7"/>
      <c r="G70" s="7"/>
      <c r="H70" s="7">
        <v>15182.96</v>
      </c>
      <c r="I70" s="10" t="str" cm="1">
        <f t="array" ref="I70">+_xlfn.IFNA(IF(MID(B70,1,1)="2",_xlfn.IFS(G70&gt;H70,$L$6,H70&gt;G70,$L$7),IF(MID(A70,1,1)="2",_xlfn.IFS(G70&gt;H70,$L$6,H70&gt;G70,$L$7))),"D")</f>
        <v>D</v>
      </c>
    </row>
    <row r="71" spans="1:9" x14ac:dyDescent="0.2">
      <c r="A71" s="8" t="s">
        <v>103</v>
      </c>
      <c r="B71" s="9" t="s">
        <v>104</v>
      </c>
      <c r="C71" s="7"/>
      <c r="D71" s="7">
        <v>15182.95999999999</v>
      </c>
      <c r="E71" s="7"/>
      <c r="F71" s="7"/>
      <c r="G71" s="7"/>
      <c r="H71" s="7">
        <v>15182.96</v>
      </c>
      <c r="I71" s="10" t="str" cm="1">
        <f t="array" ref="I71">+_xlfn.IFNA(IF(MID(B71,1,1)="2",_xlfn.IFS(G71&gt;H71,$L$6,H71&gt;G71,$L$7),IF(MID(A71,1,1)="2",_xlfn.IFS(G71&gt;H71,$L$6,H71&gt;G71,$L$7))),"D")</f>
        <v>D</v>
      </c>
    </row>
    <row r="72" spans="1:9" x14ac:dyDescent="0.2">
      <c r="B72" s="6" t="s">
        <v>105</v>
      </c>
      <c r="C72" s="7"/>
      <c r="D72" s="7"/>
      <c r="E72" s="7"/>
      <c r="F72" s="7"/>
      <c r="G72" s="7"/>
      <c r="H72" s="7"/>
      <c r="I72" s="10" t="str" cm="1">
        <f t="array" ref="I72">+_xlfn.IFNA(IF(MID(B72,1,1)="2",_xlfn.IFS(G72&gt;H72,$L$6,H72&gt;G72,$L$7),IF(MID(A72,1,1)="2",_xlfn.IFS(G72&gt;H72,$L$6,H72&gt;G72,$L$7))),"D")</f>
        <v>D</v>
      </c>
    </row>
    <row r="73" spans="1:9" x14ac:dyDescent="0.2">
      <c r="A73" s="8" t="s">
        <v>106</v>
      </c>
      <c r="B73" s="9" t="s">
        <v>107</v>
      </c>
      <c r="C73" s="7"/>
      <c r="D73" s="7"/>
      <c r="E73" s="7"/>
      <c r="F73" s="7"/>
      <c r="G73" s="7"/>
      <c r="H73" s="7"/>
      <c r="I73" s="10" t="str" cm="1">
        <f t="array" ref="I73">+_xlfn.IFNA(IF(MID(B73,1,1)="2",_xlfn.IFS(G73&gt;H73,$L$6,H73&gt;G73,$L$7),IF(MID(A73,1,1)="2",_xlfn.IFS(G73&gt;H73,$L$6,H73&gt;G73,$L$7))),"D")</f>
        <v>D</v>
      </c>
    </row>
    <row r="74" spans="1:9" x14ac:dyDescent="0.2">
      <c r="B74" s="6" t="s">
        <v>108</v>
      </c>
      <c r="C74" s="7"/>
      <c r="D74" s="7">
        <v>3007.4599999999991</v>
      </c>
      <c r="E74" s="7">
        <v>3000</v>
      </c>
      <c r="F74" s="7"/>
      <c r="G74" s="7"/>
      <c r="H74" s="7">
        <v>7.4600000000000364</v>
      </c>
      <c r="I74" s="10" t="str" cm="1">
        <f t="array" ref="I74">+_xlfn.IFNA(IF(MID(B74,1,1)="2",_xlfn.IFS(G74&gt;H74,$L$6,H74&gt;G74,$L$7),IF(MID(A74,1,1)="2",_xlfn.IFS(G74&gt;H74,$L$6,H74&gt;G74,$L$7))),"D")</f>
        <v>D</v>
      </c>
    </row>
    <row r="75" spans="1:9" x14ac:dyDescent="0.2">
      <c r="A75" s="8" t="s">
        <v>109</v>
      </c>
      <c r="B75" s="9" t="s">
        <v>110</v>
      </c>
      <c r="C75" s="7"/>
      <c r="D75" s="7">
        <v>3007.4599999999991</v>
      </c>
      <c r="E75" s="7">
        <v>3000</v>
      </c>
      <c r="F75" s="7"/>
      <c r="G75" s="7"/>
      <c r="H75" s="7">
        <v>7.4600000000000364</v>
      </c>
      <c r="I75" s="10" t="str" cm="1">
        <f t="array" ref="I75">+_xlfn.IFNA(IF(MID(B75,1,1)="2",_xlfn.IFS(G75&gt;H75,$L$6,H75&gt;G75,$L$7),IF(MID(A75,1,1)="2",_xlfn.IFS(G75&gt;H75,$L$6,H75&gt;G75,$L$7))),"D")</f>
        <v>D</v>
      </c>
    </row>
    <row r="76" spans="1:9" x14ac:dyDescent="0.2">
      <c r="B76" s="4" t="s">
        <v>111</v>
      </c>
      <c r="C76" s="5"/>
      <c r="D76" s="5">
        <v>0.69000000003492468</v>
      </c>
      <c r="E76" s="5"/>
      <c r="F76" s="5"/>
      <c r="G76" s="5"/>
      <c r="H76" s="5">
        <v>0.69</v>
      </c>
      <c r="I76" s="10" t="str" cm="1">
        <f t="array" ref="I76">+_xlfn.IFNA(IF(MID(B76,1,1)="2",_xlfn.IFS(G76&gt;H76,$L$6,H76&gt;G76,$L$7),IF(MID(A76,1,1)="2",_xlfn.IFS(G76&gt;H76,$L$6,H76&gt;G76,$L$7))),"D")</f>
        <v>D</v>
      </c>
    </row>
    <row r="77" spans="1:9" x14ac:dyDescent="0.2">
      <c r="B77" s="6" t="s">
        <v>112</v>
      </c>
      <c r="C77" s="7"/>
      <c r="D77" s="7"/>
      <c r="E77" s="7"/>
      <c r="F77" s="7"/>
      <c r="G77" s="7"/>
      <c r="H77" s="7"/>
      <c r="I77" s="10" t="str" cm="1">
        <f t="array" ref="I77">+_xlfn.IFNA(IF(MID(B77,1,1)="2",_xlfn.IFS(G77&gt;H77,$L$6,H77&gt;G77,$L$7),IF(MID(A77,1,1)="2",_xlfn.IFS(G77&gt;H77,$L$6,H77&gt;G77,$L$7))),"D")</f>
        <v>D</v>
      </c>
    </row>
    <row r="78" spans="1:9" x14ac:dyDescent="0.2">
      <c r="A78" s="8" t="s">
        <v>113</v>
      </c>
      <c r="B78" s="9" t="s">
        <v>114</v>
      </c>
      <c r="C78" s="7"/>
      <c r="D78" s="7"/>
      <c r="E78" s="7"/>
      <c r="F78" s="7"/>
      <c r="G78" s="7"/>
      <c r="H78" s="7"/>
      <c r="I78" s="10" t="str" cm="1">
        <f t="array" ref="I78">+_xlfn.IFNA(IF(MID(B78,1,1)="2",_xlfn.IFS(G78&gt;H78,$L$6,H78&gt;G78,$L$7),IF(MID(A78,1,1)="2",_xlfn.IFS(G78&gt;H78,$L$6,H78&gt;G78,$L$7))),"D")</f>
        <v>D</v>
      </c>
    </row>
    <row r="79" spans="1:9" x14ac:dyDescent="0.2">
      <c r="B79" s="6" t="s">
        <v>115</v>
      </c>
      <c r="C79" s="7"/>
      <c r="D79" s="7">
        <v>0.3500000000349246</v>
      </c>
      <c r="E79" s="7"/>
      <c r="F79" s="7"/>
      <c r="G79" s="7"/>
      <c r="H79" s="7">
        <v>0.35</v>
      </c>
      <c r="I79" s="10" t="str" cm="1">
        <f t="array" ref="I79">+_xlfn.IFNA(IF(MID(B79,1,1)="2",_xlfn.IFS(G79&gt;H79,$L$6,H79&gt;G79,$L$7),IF(MID(A79,1,1)="2",_xlfn.IFS(G79&gt;H79,$L$6,H79&gt;G79,$L$7))),"D")</f>
        <v>D</v>
      </c>
    </row>
    <row r="80" spans="1:9" x14ac:dyDescent="0.2">
      <c r="A80" s="8" t="s">
        <v>116</v>
      </c>
      <c r="B80" s="9" t="s">
        <v>117</v>
      </c>
      <c r="C80" s="7"/>
      <c r="D80" s="7">
        <v>0.3500000000349246</v>
      </c>
      <c r="E80" s="7"/>
      <c r="F80" s="7"/>
      <c r="G80" s="7"/>
      <c r="H80" s="7">
        <v>0.35</v>
      </c>
      <c r="I80" s="10" t="str" cm="1">
        <f t="array" ref="I80">+_xlfn.IFNA(IF(MID(B80,1,1)="2",_xlfn.IFS(G80&gt;H80,$L$6,H80&gt;G80,$L$7),IF(MID(A80,1,1)="2",_xlfn.IFS(G80&gt;H80,$L$6,H80&gt;G80,$L$7))),"D")</f>
        <v>D</v>
      </c>
    </row>
    <row r="81" spans="1:9" x14ac:dyDescent="0.2">
      <c r="B81" s="6" t="s">
        <v>118</v>
      </c>
      <c r="C81" s="7"/>
      <c r="D81" s="7">
        <v>0.27</v>
      </c>
      <c r="E81" s="7"/>
      <c r="F81" s="7"/>
      <c r="G81" s="7"/>
      <c r="H81" s="7">
        <v>0.27</v>
      </c>
      <c r="I81" s="10" t="str" cm="1">
        <f t="array" ref="I81">+_xlfn.IFNA(IF(MID(B81,1,1)="2",_xlfn.IFS(G81&gt;H81,$L$6,H81&gt;G81,$L$7),IF(MID(A81,1,1)="2",_xlfn.IFS(G81&gt;H81,$L$6,H81&gt;G81,$L$7))),"D")</f>
        <v>D</v>
      </c>
    </row>
    <row r="82" spans="1:9" x14ac:dyDescent="0.2">
      <c r="A82" s="8" t="s">
        <v>119</v>
      </c>
      <c r="B82" s="9" t="s">
        <v>120</v>
      </c>
      <c r="C82" s="7"/>
      <c r="D82" s="7">
        <v>0.27</v>
      </c>
      <c r="E82" s="7"/>
      <c r="F82" s="7"/>
      <c r="G82" s="7"/>
      <c r="H82" s="7">
        <v>0.27</v>
      </c>
      <c r="I82" s="10" t="str" cm="1">
        <f t="array" ref="I82">+_xlfn.IFNA(IF(MID(B82,1,1)="2",_xlfn.IFS(G82&gt;H82,$L$6,H82&gt;G82,$L$7),IF(MID(A82,1,1)="2",_xlfn.IFS(G82&gt;H82,$L$6,H82&gt;G82,$L$7))),"D")</f>
        <v>D</v>
      </c>
    </row>
    <row r="83" spans="1:9" x14ac:dyDescent="0.2">
      <c r="B83" s="6" t="s">
        <v>121</v>
      </c>
      <c r="C83" s="7"/>
      <c r="D83" s="7"/>
      <c r="E83" s="7"/>
      <c r="F83" s="7"/>
      <c r="G83" s="7"/>
      <c r="H83" s="7"/>
      <c r="I83" s="10" t="str" cm="1">
        <f t="array" ref="I83">+_xlfn.IFNA(IF(MID(B83,1,1)="2",_xlfn.IFS(G83&gt;H83,$L$6,H83&gt;G83,$L$7),IF(MID(A83,1,1)="2",_xlfn.IFS(G83&gt;H83,$L$6,H83&gt;G83,$L$7))),"D")</f>
        <v>D</v>
      </c>
    </row>
    <row r="84" spans="1:9" x14ac:dyDescent="0.2">
      <c r="A84" s="8" t="s">
        <v>122</v>
      </c>
      <c r="B84" s="9" t="s">
        <v>123</v>
      </c>
      <c r="C84" s="7"/>
      <c r="D84" s="7"/>
      <c r="E84" s="7"/>
      <c r="F84" s="7"/>
      <c r="G84" s="7"/>
      <c r="H84" s="7"/>
      <c r="I84" s="10" t="str" cm="1">
        <f t="array" ref="I84">+_xlfn.IFNA(IF(MID(B84,1,1)="2",_xlfn.IFS(G84&gt;H84,$L$6,H84&gt;G84,$L$7),IF(MID(A84,1,1)="2",_xlfn.IFS(G84&gt;H84,$L$6,H84&gt;G84,$L$7))),"D")</f>
        <v>D</v>
      </c>
    </row>
    <row r="85" spans="1:9" x14ac:dyDescent="0.2">
      <c r="B85" s="6" t="s">
        <v>124</v>
      </c>
      <c r="C85" s="7"/>
      <c r="D85" s="7">
        <v>7.0000000000000007E-2</v>
      </c>
      <c r="E85" s="7"/>
      <c r="F85" s="7"/>
      <c r="G85" s="7"/>
      <c r="H85" s="7">
        <v>7.0000000000000007E-2</v>
      </c>
      <c r="I85" s="10" t="str" cm="1">
        <f t="array" ref="I85">+_xlfn.IFNA(IF(MID(B85,1,1)="2",_xlfn.IFS(G85&gt;H85,$L$6,H85&gt;G85,$L$7),IF(MID(A85,1,1)="2",_xlfn.IFS(G85&gt;H85,$L$6,H85&gt;G85,$L$7))),"D")</f>
        <v>D</v>
      </c>
    </row>
    <row r="86" spans="1:9" x14ac:dyDescent="0.2">
      <c r="A86" s="8" t="s">
        <v>125</v>
      </c>
      <c r="B86" s="9" t="s">
        <v>126</v>
      </c>
      <c r="C86" s="7"/>
      <c r="D86" s="7">
        <v>7.0000000000000007E-2</v>
      </c>
      <c r="E86" s="7"/>
      <c r="F86" s="7"/>
      <c r="G86" s="7"/>
      <c r="H86" s="7">
        <v>7.0000000000000007E-2</v>
      </c>
      <c r="I86" s="10" t="str" cm="1">
        <f t="array" ref="I86">+_xlfn.IFNA(IF(MID(B86,1,1)="2",_xlfn.IFS(G86&gt;H86,$L$6,H86&gt;G86,$L$7),IF(MID(A86,1,1)="2",_xlfn.IFS(G86&gt;H86,$L$6,H86&gt;G86,$L$7))),"D")</f>
        <v>D</v>
      </c>
    </row>
    <row r="87" spans="1:9" x14ac:dyDescent="0.2">
      <c r="A87" s="8" t="s">
        <v>127</v>
      </c>
      <c r="B87" s="9" t="s">
        <v>128</v>
      </c>
      <c r="C87" s="7"/>
      <c r="D87" s="7"/>
      <c r="E87" s="7"/>
      <c r="F87" s="7"/>
      <c r="G87" s="7"/>
      <c r="H87" s="7"/>
      <c r="I87" s="10" t="str" cm="1">
        <f t="array" ref="I87">+_xlfn.IFNA(IF(MID(B87,1,1)="2",_xlfn.IFS(G87&gt;H87,$L$6,H87&gt;G87,$L$7),IF(MID(A87,1,1)="2",_xlfn.IFS(G87&gt;H87,$L$6,H87&gt;G87,$L$7))),"D")</f>
        <v>D</v>
      </c>
    </row>
    <row r="88" spans="1:9" ht="17" x14ac:dyDescent="0.25">
      <c r="B88" s="2" t="s">
        <v>129</v>
      </c>
      <c r="C88" s="3">
        <v>334081.38</v>
      </c>
      <c r="D88" s="3">
        <v>2249382.7999999998</v>
      </c>
      <c r="E88" s="3"/>
      <c r="F88" s="3"/>
      <c r="G88" s="3">
        <v>334081.38</v>
      </c>
      <c r="H88" s="3">
        <v>2249382.7999999998</v>
      </c>
      <c r="I88" s="10" t="str" cm="1">
        <f t="array" ref="I88">+_xlfn.IFNA(IF(MID(B88,1,1)="3",_xlfn.IFS(G88&gt;H88,$L$8,H88&gt;G88,$L$9),IF(MID(A88,1,1)="3",_xlfn.IFS(G88&gt;H88,$L$8,H88&gt;G88,$L$9))),"F")</f>
        <v>F</v>
      </c>
    </row>
    <row r="89" spans="1:9" x14ac:dyDescent="0.2">
      <c r="B89" s="4" t="s">
        <v>130</v>
      </c>
      <c r="C89" s="5">
        <v>334081.38</v>
      </c>
      <c r="D89" s="5">
        <v>2249382.7999999998</v>
      </c>
      <c r="E89" s="5"/>
      <c r="F89" s="5"/>
      <c r="G89" s="5">
        <v>334081.38</v>
      </c>
      <c r="H89" s="5">
        <v>2249382.7999999998</v>
      </c>
      <c r="I89" s="10" t="str" cm="1">
        <f t="array" ref="I89">+_xlfn.IFNA(IF(MID(B89,1,1)="3",_xlfn.IFS(G89&gt;H89,$L$8,H89&gt;G89,$L$9),IF(MID(A89,1,1)="3",_xlfn.IFS(G89&gt;H89,$L$8,H89&gt;G89,$L$9))),"F")</f>
        <v>F</v>
      </c>
    </row>
    <row r="90" spans="1:9" x14ac:dyDescent="0.2">
      <c r="B90" s="6" t="s">
        <v>131</v>
      </c>
      <c r="C90" s="7">
        <v>334081.38</v>
      </c>
      <c r="D90" s="7">
        <v>2249382.7999999998</v>
      </c>
      <c r="E90" s="7"/>
      <c r="F90" s="7"/>
      <c r="G90" s="7">
        <v>334081.38</v>
      </c>
      <c r="H90" s="7">
        <v>2249382.7999999998</v>
      </c>
      <c r="I90" s="10" t="str" cm="1">
        <f t="array" ref="I90">+_xlfn.IFNA(IF(MID(B90,1,1)="3",_xlfn.IFS(G90&gt;H90,$L$8,H90&gt;G90,$L$9),IF(MID(A90,1,1)="3",_xlfn.IFS(G90&gt;H90,$L$8,H90&gt;G90,$L$9))),"F")</f>
        <v>F</v>
      </c>
    </row>
    <row r="91" spans="1:9" x14ac:dyDescent="0.2">
      <c r="A91" s="8" t="s">
        <v>132</v>
      </c>
      <c r="B91" s="9" t="s">
        <v>133</v>
      </c>
      <c r="C91" s="7"/>
      <c r="D91" s="7">
        <v>80114.63</v>
      </c>
      <c r="E91" s="7"/>
      <c r="F91" s="7"/>
      <c r="G91" s="7"/>
      <c r="H91" s="7">
        <v>80114.63</v>
      </c>
      <c r="I91" s="10" t="str" cm="1">
        <f t="array" ref="I91">+_xlfn.IFNA(IF(MID(B91,1,1)="3",_xlfn.IFS(G91&gt;H91,$L$8,H91&gt;G91,$L$9),IF(MID(A91,1,1)="3",_xlfn.IFS(G91&gt;H91,$L$8,H91&gt;G91,$L$9))),"F")</f>
        <v>F</v>
      </c>
    </row>
    <row r="92" spans="1:9" x14ac:dyDescent="0.2">
      <c r="A92" s="8" t="s">
        <v>134</v>
      </c>
      <c r="B92" s="9" t="s">
        <v>135</v>
      </c>
      <c r="C92" s="7"/>
      <c r="D92" s="7">
        <v>60917.36</v>
      </c>
      <c r="E92" s="7"/>
      <c r="F92" s="7"/>
      <c r="G92" s="7"/>
      <c r="H92" s="7">
        <v>60917.36</v>
      </c>
      <c r="I92" s="10" t="str" cm="1">
        <f t="array" ref="I92">+_xlfn.IFNA(IF(MID(B92,1,1)="3",_xlfn.IFS(G92&gt;H92,$L$8,H92&gt;G92,$L$9),IF(MID(A92,1,1)="3",_xlfn.IFS(G92&gt;H92,$L$8,H92&gt;G92,$L$9))),"F")</f>
        <v>F</v>
      </c>
    </row>
    <row r="93" spans="1:9" x14ac:dyDescent="0.2">
      <c r="A93" s="8" t="s">
        <v>136</v>
      </c>
      <c r="B93" s="9" t="s">
        <v>137</v>
      </c>
      <c r="C93" s="7"/>
      <c r="D93" s="7">
        <v>272479.64</v>
      </c>
      <c r="E93" s="7"/>
      <c r="F93" s="7"/>
      <c r="G93" s="7"/>
      <c r="H93" s="7">
        <v>272479.64</v>
      </c>
      <c r="I93" s="10" t="str" cm="1">
        <f t="array" ref="I93">+_xlfn.IFNA(IF(MID(B93,1,1)="3",_xlfn.IFS(G93&gt;H93,$L$8,H93&gt;G93,$L$9),IF(MID(A93,1,1)="3",_xlfn.IFS(G93&gt;H93,$L$8,H93&gt;G93,$L$9))),"F")</f>
        <v>F</v>
      </c>
    </row>
    <row r="94" spans="1:9" x14ac:dyDescent="0.2">
      <c r="A94" s="8" t="s">
        <v>138</v>
      </c>
      <c r="B94" s="9" t="s">
        <v>139</v>
      </c>
      <c r="C94" s="7"/>
      <c r="D94" s="7">
        <v>376650.39</v>
      </c>
      <c r="E94" s="7"/>
      <c r="F94" s="7"/>
      <c r="G94" s="7"/>
      <c r="H94" s="7">
        <v>376650.39</v>
      </c>
      <c r="I94" s="10" t="str" cm="1">
        <f t="array" ref="I94">+_xlfn.IFNA(IF(MID(B94,1,1)="3",_xlfn.IFS(G94&gt;H94,$L$8,H94&gt;G94,$L$9),IF(MID(A94,1,1)="3",_xlfn.IFS(G94&gt;H94,$L$8,H94&gt;G94,$L$9))),"F")</f>
        <v>F</v>
      </c>
    </row>
    <row r="95" spans="1:9" x14ac:dyDescent="0.2">
      <c r="A95" s="8" t="s">
        <v>140</v>
      </c>
      <c r="B95" s="9" t="s">
        <v>141</v>
      </c>
      <c r="C95" s="7"/>
      <c r="D95" s="7">
        <v>759276.21</v>
      </c>
      <c r="E95" s="7"/>
      <c r="F95" s="7"/>
      <c r="G95" s="7"/>
      <c r="H95" s="7">
        <v>759276.21</v>
      </c>
      <c r="I95" s="10" t="str" cm="1">
        <f t="array" ref="I95">+_xlfn.IFNA(IF(MID(B95,1,1)="3",_xlfn.IFS(G95&gt;H95,$L$8,H95&gt;G95,$L$9),IF(MID(A95,1,1)="3",_xlfn.IFS(G95&gt;H95,$L$8,H95&gt;G95,$L$9))),"F")</f>
        <v>F</v>
      </c>
    </row>
    <row r="96" spans="1:9" x14ac:dyDescent="0.2">
      <c r="A96" s="8" t="s">
        <v>142</v>
      </c>
      <c r="B96" s="9" t="s">
        <v>143</v>
      </c>
      <c r="C96" s="7"/>
      <c r="D96" s="7">
        <v>212046.65</v>
      </c>
      <c r="E96" s="7"/>
      <c r="F96" s="7"/>
      <c r="G96" s="7"/>
      <c r="H96" s="7">
        <v>212046.65</v>
      </c>
      <c r="I96" s="10" t="str" cm="1">
        <f t="array" ref="I96">+_xlfn.IFNA(IF(MID(B96,1,1)="3",_xlfn.IFS(G96&gt;H96,$L$8,H96&gt;G96,$L$9),IF(MID(A96,1,1)="3",_xlfn.IFS(G96&gt;H96,$L$8,H96&gt;G96,$L$9))),"F")</f>
        <v>F</v>
      </c>
    </row>
    <row r="97" spans="1:9" x14ac:dyDescent="0.2">
      <c r="A97" s="8" t="s">
        <v>144</v>
      </c>
      <c r="B97" s="9" t="s">
        <v>145</v>
      </c>
      <c r="C97" s="7"/>
      <c r="D97" s="7">
        <v>319238.62</v>
      </c>
      <c r="E97" s="7"/>
      <c r="F97" s="7"/>
      <c r="G97" s="7"/>
      <c r="H97" s="7">
        <v>319238.62</v>
      </c>
      <c r="I97" s="10" t="str" cm="1">
        <f t="array" ref="I97">+_xlfn.IFNA(IF(MID(B97,1,1)="3",_xlfn.IFS(G97&gt;H97,$L$8,H97&gt;G97,$L$9),IF(MID(A97,1,1)="3",_xlfn.IFS(G97&gt;H97,$L$8,H97&gt;G97,$L$9))),"F")</f>
        <v>F</v>
      </c>
    </row>
    <row r="98" spans="1:9" x14ac:dyDescent="0.2">
      <c r="A98" s="8" t="s">
        <v>146</v>
      </c>
      <c r="B98" s="9" t="s">
        <v>147</v>
      </c>
      <c r="C98" s="7"/>
      <c r="D98" s="7">
        <v>168659.3</v>
      </c>
      <c r="E98" s="7"/>
      <c r="F98" s="7"/>
      <c r="G98" s="7"/>
      <c r="H98" s="7">
        <v>168659.3</v>
      </c>
      <c r="I98" s="10" t="str" cm="1">
        <f t="array" ref="I98">+_xlfn.IFNA(IF(MID(B98,1,1)="3",_xlfn.IFS(G98&gt;H98,$L$8,H98&gt;G98,$L$9),IF(MID(A98,1,1)="3",_xlfn.IFS(G98&gt;H98,$L$8,H98&gt;G98,$L$9))),"F")</f>
        <v>F</v>
      </c>
    </row>
    <row r="99" spans="1:9" x14ac:dyDescent="0.2">
      <c r="A99" s="8" t="s">
        <v>148</v>
      </c>
      <c r="B99" s="9" t="s">
        <v>149</v>
      </c>
      <c r="C99" s="7">
        <v>334081.38</v>
      </c>
      <c r="D99" s="7"/>
      <c r="E99" s="7"/>
      <c r="F99" s="7"/>
      <c r="G99" s="7">
        <v>334081.38</v>
      </c>
      <c r="H99" s="7"/>
      <c r="I99" s="10" t="str" cm="1">
        <f t="array" ref="I99">+_xlfn.IFNA(IF(MID(B99,1,1)="3",_xlfn.IFS(G99&gt;H99,$L$8,H99&gt;G99,$L$9),IF(MID(A99,1,1)="3",_xlfn.IFS(G99&gt;H99,$L$8,H99&gt;G99,$L$9))),"F")</f>
        <v>E</v>
      </c>
    </row>
    <row r="100" spans="1:9" x14ac:dyDescent="0.2">
      <c r="B100" s="4" t="s">
        <v>150</v>
      </c>
      <c r="C100" s="5"/>
      <c r="D100" s="5"/>
      <c r="E100" s="5"/>
      <c r="F100" s="5"/>
      <c r="G100" s="5"/>
      <c r="H100" s="5"/>
      <c r="I100" s="10" t="str" cm="1">
        <f t="array" ref="I100">+_xlfn.IFNA(IF(MID(B100,1,1)="3",_xlfn.IFS(G100&gt;H100,$L$8,H100&gt;G100,$L$9),IF(MID(A100,1,1)="3",_xlfn.IFS(G100&gt;H100,$L$8,H100&gt;G100,$L$9))),"F")</f>
        <v>F</v>
      </c>
    </row>
    <row r="101" spans="1:9" x14ac:dyDescent="0.2">
      <c r="B101" s="6" t="s">
        <v>151</v>
      </c>
      <c r="C101" s="7"/>
      <c r="D101" s="7"/>
      <c r="E101" s="7"/>
      <c r="F101" s="7"/>
      <c r="G101" s="7"/>
      <c r="H101" s="7"/>
      <c r="I101" s="10" t="str" cm="1">
        <f t="array" ref="I101">+_xlfn.IFNA(IF(MID(B101,1,1)="3",_xlfn.IFS(G101&gt;H101,$L$8,H101&gt;G101,$L$9),IF(MID(A101,1,1)="3",_xlfn.IFS(G101&gt;H101,$L$8,H101&gt;G101,$L$9))),"F")</f>
        <v>F</v>
      </c>
    </row>
    <row r="102" spans="1:9" x14ac:dyDescent="0.2">
      <c r="A102" s="8" t="s">
        <v>152</v>
      </c>
      <c r="B102" s="9" t="s">
        <v>153</v>
      </c>
      <c r="C102" s="7"/>
      <c r="D102" s="7"/>
      <c r="E102" s="7"/>
      <c r="F102" s="7"/>
      <c r="G102" s="7"/>
      <c r="H102" s="7"/>
      <c r="I102" s="10" t="str" cm="1">
        <f t="array" ref="I102">+_xlfn.IFNA(IF(MID(B102,1,1)="3",_xlfn.IFS(G102&gt;H102,$L$8,H102&gt;G102,$L$9),IF(MID(A102,1,1)="3",_xlfn.IFS(G102&gt;H102,$L$8,H102&gt;G102,$L$9))),"F")</f>
        <v>F</v>
      </c>
    </row>
    <row r="103" spans="1:9" ht="17" x14ac:dyDescent="0.25">
      <c r="B103" s="2" t="s">
        <v>154</v>
      </c>
      <c r="C103" s="3"/>
      <c r="D103" s="3">
        <v>1051900.8</v>
      </c>
      <c r="E103" s="3"/>
      <c r="F103" s="3">
        <v>111893.34</v>
      </c>
      <c r="G103" s="3"/>
      <c r="H103" s="3">
        <v>1163794.1399999999</v>
      </c>
      <c r="I103" s="10" t="str" cm="1">
        <f t="array" ref="I103">+_xlfn.IFNA(IF(MID(B103,1,1)="4",_xlfn.IFS(G103&gt;H103,$L$10,H103&gt;G103,$L$11),IF(MID(A103,1,1)="4",_xlfn.IFS(G103&gt;H103,$L$10,H103&gt;G103,$L$11))),"H")</f>
        <v>H</v>
      </c>
    </row>
    <row r="104" spans="1:9" x14ac:dyDescent="0.2">
      <c r="B104" s="4" t="s">
        <v>155</v>
      </c>
      <c r="C104" s="5"/>
      <c r="D104" s="5">
        <v>1051900.8</v>
      </c>
      <c r="E104" s="5"/>
      <c r="F104" s="5">
        <v>111893.34</v>
      </c>
      <c r="G104" s="5"/>
      <c r="H104" s="5">
        <v>1163794.1399999999</v>
      </c>
      <c r="I104" s="10" t="str" cm="1">
        <f t="array" ref="I104">+_xlfn.IFNA(IF(MID(B104,1,1)="4",_xlfn.IFS(G104&gt;H104,$L$10,H104&gt;G104,$L$11),IF(MID(A104,1,1)="4",_xlfn.IFS(G104&gt;H104,$L$10,H104&gt;G104,$L$11))),"H")</f>
        <v>H</v>
      </c>
    </row>
    <row r="105" spans="1:9" x14ac:dyDescent="0.2">
      <c r="B105" s="6" t="s">
        <v>156</v>
      </c>
      <c r="C105" s="7"/>
      <c r="D105" s="7">
        <v>1049871.1299999999</v>
      </c>
      <c r="E105" s="7"/>
      <c r="F105" s="7">
        <v>111893.34</v>
      </c>
      <c r="G105" s="7"/>
      <c r="H105" s="7">
        <v>1161764.47</v>
      </c>
      <c r="I105" s="10" t="str" cm="1">
        <f t="array" ref="I105">+_xlfn.IFNA(IF(MID(B105,1,1)="4",_xlfn.IFS(G105&gt;H105,$L$10,H105&gt;G105,$L$11),IF(MID(A105,1,1)="4",_xlfn.IFS(G105&gt;H105,$L$10,H105&gt;G105,$L$11))),"H")</f>
        <v>H</v>
      </c>
    </row>
    <row r="106" spans="1:9" x14ac:dyDescent="0.2">
      <c r="A106" s="8" t="s">
        <v>157</v>
      </c>
      <c r="B106" s="9" t="s">
        <v>158</v>
      </c>
      <c r="C106" s="7"/>
      <c r="D106" s="7">
        <v>1049871.1299999999</v>
      </c>
      <c r="E106" s="7"/>
      <c r="F106" s="7">
        <v>111893.34</v>
      </c>
      <c r="G106" s="7"/>
      <c r="H106" s="7">
        <v>1161764.47</v>
      </c>
      <c r="I106" s="10" t="str" cm="1">
        <f t="array" ref="I106">+_xlfn.IFNA(IF(MID(B106,1,1)="4",_xlfn.IFS(G106&gt;H106,$L$10,H106&gt;G106,$L$11),IF(MID(A106,1,1)="4",_xlfn.IFS(G106&gt;H106,$L$10,H106&gt;G106,$L$11))),"H")</f>
        <v>H</v>
      </c>
    </row>
    <row r="107" spans="1:9" x14ac:dyDescent="0.2">
      <c r="B107" s="6" t="s">
        <v>159</v>
      </c>
      <c r="C107" s="7"/>
      <c r="D107" s="7">
        <v>2029.67</v>
      </c>
      <c r="E107" s="7"/>
      <c r="F107" s="7"/>
      <c r="G107" s="7"/>
      <c r="H107" s="7">
        <v>2029.67</v>
      </c>
      <c r="I107" s="10" t="str" cm="1">
        <f t="array" ref="I107">+_xlfn.IFNA(IF(MID(B107,1,1)="4",_xlfn.IFS(G107&gt;H107,$L$10,H107&gt;G107,$L$11),IF(MID(A107,1,1)="4",_xlfn.IFS(G107&gt;H107,$L$10,H107&gt;G107,$L$11))),"H")</f>
        <v>H</v>
      </c>
    </row>
    <row r="108" spans="1:9" x14ac:dyDescent="0.2">
      <c r="A108" s="8" t="s">
        <v>160</v>
      </c>
      <c r="B108" s="9" t="s">
        <v>161</v>
      </c>
      <c r="C108" s="7"/>
      <c r="D108" s="7">
        <v>2029.67</v>
      </c>
      <c r="E108" s="7"/>
      <c r="F108" s="7"/>
      <c r="G108" s="7"/>
      <c r="H108" s="7">
        <v>2029.67</v>
      </c>
      <c r="I108" s="10" t="str" cm="1">
        <f t="array" ref="I108">+_xlfn.IFNA(IF(MID(B108,1,1)="4",_xlfn.IFS(G108&gt;H108,$L$10,H108&gt;G108,$L$11),IF(MID(A108,1,1)="4",_xlfn.IFS(G108&gt;H108,$L$10,H108&gt;G108,$L$11))),"H")</f>
        <v>H</v>
      </c>
    </row>
    <row r="109" spans="1:9" ht="17" x14ac:dyDescent="0.25">
      <c r="B109" s="2" t="s">
        <v>162</v>
      </c>
      <c r="C109" s="3">
        <v>1064838.73</v>
      </c>
      <c r="D109" s="3"/>
      <c r="E109" s="3">
        <v>5120.0200000000004</v>
      </c>
      <c r="F109" s="3"/>
      <c r="G109" s="3">
        <v>1069958.75</v>
      </c>
      <c r="H109" s="3"/>
      <c r="I109" s="10" t="str" cm="1">
        <f t="array" ref="I109">+_xlfn.IFNA(IF(MID(B109,1,1)="6",_xlfn.IFS(G109&gt;H109,$L$10,H109&gt;G109,$L$11),IF(MID(A109,1,1)="6",_xlfn.IFS(G109&gt;H109,$L$10,H109&gt;G109,$L$11))),"G")</f>
        <v>G</v>
      </c>
    </row>
    <row r="110" spans="1:9" x14ac:dyDescent="0.2">
      <c r="B110" s="4" t="s">
        <v>163</v>
      </c>
      <c r="C110" s="5">
        <v>993527.19</v>
      </c>
      <c r="D110" s="5"/>
      <c r="E110" s="5"/>
      <c r="F110" s="5"/>
      <c r="G110" s="5">
        <v>993527.19</v>
      </c>
      <c r="H110" s="5"/>
      <c r="I110" s="10" t="str" cm="1">
        <f t="array" ref="I110">+_xlfn.IFNA(IF(MID(B110,1,1)="6",_xlfn.IFS(G110&gt;H110,$L$10,H110&gt;G110,$L$11),IF(MID(A110,1,1)="6",_xlfn.IFS(G110&gt;H110,$L$10,H110&gt;G110,$L$11))),"G")</f>
        <v>G</v>
      </c>
    </row>
    <row r="111" spans="1:9" x14ac:dyDescent="0.2">
      <c r="B111" s="6" t="s">
        <v>164</v>
      </c>
      <c r="C111" s="7">
        <v>212243.35</v>
      </c>
      <c r="D111" s="7"/>
      <c r="E111" s="7"/>
      <c r="F111" s="7"/>
      <c r="G111" s="7">
        <v>212243.35</v>
      </c>
      <c r="H111" s="7"/>
      <c r="I111" s="10" t="str" cm="1">
        <f t="array" ref="I111">+_xlfn.IFNA(IF(MID(B111,1,1)="6",_xlfn.IFS(G111&gt;H111,$L$10,H111&gt;G111,$L$11),IF(MID(A111,1,1)="6",_xlfn.IFS(G111&gt;H111,$L$10,H111&gt;G111,$L$11))),"G")</f>
        <v>G</v>
      </c>
    </row>
    <row r="112" spans="1:9" x14ac:dyDescent="0.2">
      <c r="A112" s="8" t="s">
        <v>165</v>
      </c>
      <c r="B112" s="9" t="s">
        <v>166</v>
      </c>
      <c r="C112" s="7">
        <v>212243.35</v>
      </c>
      <c r="D112" s="7"/>
      <c r="E112" s="7"/>
      <c r="F112" s="7"/>
      <c r="G112" s="7">
        <v>212243.35</v>
      </c>
      <c r="H112" s="7"/>
      <c r="I112" s="10" t="str" cm="1">
        <f t="array" ref="I112">+_xlfn.IFNA(IF(MID(B112,1,1)="6",_xlfn.IFS(G112&gt;H112,$L$10,H112&gt;G112,$L$11),IF(MID(A112,1,1)="6",_xlfn.IFS(G112&gt;H112,$L$10,H112&gt;G112,$L$11))),"G")</f>
        <v>G</v>
      </c>
    </row>
    <row r="113" spans="1:9" x14ac:dyDescent="0.2">
      <c r="B113" s="6" t="s">
        <v>167</v>
      </c>
      <c r="C113" s="7">
        <v>4590.5200000000004</v>
      </c>
      <c r="D113" s="7"/>
      <c r="E113" s="7"/>
      <c r="F113" s="7"/>
      <c r="G113" s="7">
        <v>4590.5200000000004</v>
      </c>
      <c r="H113" s="7"/>
      <c r="I113" s="10" t="str" cm="1">
        <f t="array" ref="I113">+_xlfn.IFNA(IF(MID(B113,1,1)="6",_xlfn.IFS(G113&gt;H113,$L$10,H113&gt;G113,$L$11),IF(MID(A113,1,1)="6",_xlfn.IFS(G113&gt;H113,$L$10,H113&gt;G113,$L$11))),"G")</f>
        <v>G</v>
      </c>
    </row>
    <row r="114" spans="1:9" x14ac:dyDescent="0.2">
      <c r="A114" s="8" t="s">
        <v>168</v>
      </c>
      <c r="B114" s="9" t="s">
        <v>169</v>
      </c>
      <c r="C114" s="7">
        <v>4590.5200000000004</v>
      </c>
      <c r="D114" s="7"/>
      <c r="E114" s="7"/>
      <c r="F114" s="7"/>
      <c r="G114" s="7">
        <v>4590.5200000000004</v>
      </c>
      <c r="H114" s="7"/>
      <c r="I114" s="10" t="str" cm="1">
        <f t="array" ref="I114">+_xlfn.IFNA(IF(MID(B114,1,1)="6",_xlfn.IFS(G114&gt;H114,$L$10,H114&gt;G114,$L$11),IF(MID(A114,1,1)="6",_xlfn.IFS(G114&gt;H114,$L$10,H114&gt;G114,$L$11))),"G")</f>
        <v>G</v>
      </c>
    </row>
    <row r="115" spans="1:9" x14ac:dyDescent="0.2">
      <c r="B115" s="6" t="s">
        <v>170</v>
      </c>
      <c r="C115" s="7">
        <v>775000</v>
      </c>
      <c r="D115" s="7"/>
      <c r="E115" s="7"/>
      <c r="F115" s="7"/>
      <c r="G115" s="7">
        <v>775000</v>
      </c>
      <c r="H115" s="7"/>
      <c r="I115" s="10" t="str" cm="1">
        <f t="array" ref="I115">+_xlfn.IFNA(IF(MID(B115,1,1)="6",_xlfn.IFS(G115&gt;H115,$L$10,H115&gt;G115,$L$11),IF(MID(A115,1,1)="6",_xlfn.IFS(G115&gt;H115,$L$10,H115&gt;G115,$L$11))),"G")</f>
        <v>G</v>
      </c>
    </row>
    <row r="116" spans="1:9" x14ac:dyDescent="0.2">
      <c r="A116" s="8" t="s">
        <v>171</v>
      </c>
      <c r="B116" s="9" t="s">
        <v>172</v>
      </c>
      <c r="C116" s="7">
        <v>775000</v>
      </c>
      <c r="D116" s="7"/>
      <c r="E116" s="7"/>
      <c r="F116" s="7"/>
      <c r="G116" s="7">
        <v>775000</v>
      </c>
      <c r="H116" s="7"/>
      <c r="I116" s="10" t="str" cm="1">
        <f t="array" ref="I116">+_xlfn.IFNA(IF(MID(B116,1,1)="6",_xlfn.IFS(G116&gt;H116,$L$10,H116&gt;G116,$L$11),IF(MID(A116,1,1)="6",_xlfn.IFS(G116&gt;H116,$L$10,H116&gt;G116,$L$11))),"G")</f>
        <v>G</v>
      </c>
    </row>
    <row r="117" spans="1:9" x14ac:dyDescent="0.2">
      <c r="B117" s="6" t="s">
        <v>173</v>
      </c>
      <c r="C117" s="7">
        <v>676.94</v>
      </c>
      <c r="D117" s="7"/>
      <c r="E117" s="7"/>
      <c r="F117" s="7"/>
      <c r="G117" s="7">
        <v>676.94</v>
      </c>
      <c r="H117" s="7"/>
      <c r="I117" s="10" t="str" cm="1">
        <f t="array" ref="I117">+_xlfn.IFNA(IF(MID(B117,1,1)="6",_xlfn.IFS(G117&gt;H117,$L$10,H117&gt;G117,$L$11),IF(MID(A117,1,1)="6",_xlfn.IFS(G117&gt;H117,$L$10,H117&gt;G117,$L$11))),"G")</f>
        <v>G</v>
      </c>
    </row>
    <row r="118" spans="1:9" x14ac:dyDescent="0.2">
      <c r="A118" s="8" t="s">
        <v>174</v>
      </c>
      <c r="B118" s="9" t="s">
        <v>175</v>
      </c>
      <c r="C118" s="7">
        <v>676.94</v>
      </c>
      <c r="D118" s="7"/>
      <c r="E118" s="7"/>
      <c r="F118" s="7"/>
      <c r="G118" s="7">
        <v>676.94</v>
      </c>
      <c r="H118" s="7"/>
      <c r="I118" s="10" t="str" cm="1">
        <f t="array" ref="I118">+_xlfn.IFNA(IF(MID(B118,1,1)="6",_xlfn.IFS(G118&gt;H118,$L$10,H118&gt;G118,$L$11),IF(MID(A118,1,1)="6",_xlfn.IFS(G118&gt;H118,$L$10,H118&gt;G118,$L$11))),"G")</f>
        <v>G</v>
      </c>
    </row>
    <row r="119" spans="1:9" x14ac:dyDescent="0.2">
      <c r="B119" s="6" t="s">
        <v>176</v>
      </c>
      <c r="C119" s="7">
        <v>1016.38</v>
      </c>
      <c r="D119" s="7"/>
      <c r="E119" s="7"/>
      <c r="F119" s="7"/>
      <c r="G119" s="7">
        <v>1016.38</v>
      </c>
      <c r="H119" s="7"/>
      <c r="I119" s="10" t="str" cm="1">
        <f t="array" ref="I119">+_xlfn.IFNA(IF(MID(B119,1,1)="6",_xlfn.IFS(G119&gt;H119,$L$10,H119&gt;G119,$L$11),IF(MID(A119,1,1)="6",_xlfn.IFS(G119&gt;H119,$L$10,H119&gt;G119,$L$11))),"G")</f>
        <v>G</v>
      </c>
    </row>
    <row r="120" spans="1:9" x14ac:dyDescent="0.2">
      <c r="A120" s="8" t="s">
        <v>177</v>
      </c>
      <c r="B120" s="9" t="s">
        <v>178</v>
      </c>
      <c r="C120" s="7">
        <v>1016.38</v>
      </c>
      <c r="D120" s="7"/>
      <c r="E120" s="7"/>
      <c r="F120" s="7"/>
      <c r="G120" s="7">
        <v>1016.38</v>
      </c>
      <c r="H120" s="7"/>
      <c r="I120" s="10" t="str" cm="1">
        <f t="array" ref="I120">+_xlfn.IFNA(IF(MID(B120,1,1)="6",_xlfn.IFS(G120&gt;H120,$L$10,H120&gt;G120,$L$11),IF(MID(A120,1,1)="6",_xlfn.IFS(G120&gt;H120,$L$10,H120&gt;G120,$L$11))),"G")</f>
        <v>G</v>
      </c>
    </row>
    <row r="121" spans="1:9" x14ac:dyDescent="0.2">
      <c r="B121" s="4" t="s">
        <v>179</v>
      </c>
      <c r="C121" s="5">
        <v>25478.19</v>
      </c>
      <c r="D121" s="5"/>
      <c r="E121" s="5">
        <v>5120.0200000000004</v>
      </c>
      <c r="F121" s="5"/>
      <c r="G121" s="5">
        <v>30598.21</v>
      </c>
      <c r="H121" s="5"/>
      <c r="I121" s="10" t="str" cm="1">
        <f t="array" ref="I121">+_xlfn.IFNA(IF(MID(B121,1,1)="6",_xlfn.IFS(G121&gt;H121,$L$10,H121&gt;G121,$L$11),IF(MID(A121,1,1)="6",_xlfn.IFS(G121&gt;H121,$L$10,H121&gt;G121,$L$11))),"G")</f>
        <v>G</v>
      </c>
    </row>
    <row r="122" spans="1:9" x14ac:dyDescent="0.2">
      <c r="A122" s="8" t="s">
        <v>180</v>
      </c>
      <c r="B122" s="6" t="s">
        <v>181</v>
      </c>
      <c r="C122" s="7">
        <v>25478.19</v>
      </c>
      <c r="D122" s="7"/>
      <c r="E122" s="7">
        <v>5120.0200000000004</v>
      </c>
      <c r="F122" s="7"/>
      <c r="G122" s="7">
        <v>30598.21</v>
      </c>
      <c r="H122" s="7"/>
      <c r="I122" s="10" t="str" cm="1">
        <f t="array" ref="I122">+_xlfn.IFNA(IF(MID(B122,1,1)="6",_xlfn.IFS(G122&gt;H122,$L$10,H122&gt;G122,$L$11),IF(MID(A122,1,1)="6",_xlfn.IFS(G122&gt;H122,$L$10,H122&gt;G122,$L$11))),"G")</f>
        <v>G</v>
      </c>
    </row>
    <row r="123" spans="1:9" x14ac:dyDescent="0.2">
      <c r="B123" s="4" t="s">
        <v>182</v>
      </c>
      <c r="C123" s="5">
        <v>45833.35</v>
      </c>
      <c r="D123" s="5"/>
      <c r="E123" s="5"/>
      <c r="F123" s="5"/>
      <c r="G123" s="5">
        <v>45833.35</v>
      </c>
      <c r="H123" s="5"/>
      <c r="I123" s="10" t="str" cm="1">
        <f t="array" ref="I123">+_xlfn.IFNA(IF(MID(B123,1,1)="6",_xlfn.IFS(G123&gt;H123,$L$10,H123&gt;G123,$L$11),IF(MID(A123,1,1)="6",_xlfn.IFS(G123&gt;H123,$L$10,H123&gt;G123,$L$11))),"G")</f>
        <v>G</v>
      </c>
    </row>
    <row r="124" spans="1:9" x14ac:dyDescent="0.2">
      <c r="B124" s="6" t="s">
        <v>183</v>
      </c>
      <c r="C124" s="7">
        <v>45833.35</v>
      </c>
      <c r="D124" s="7"/>
      <c r="E124" s="7"/>
      <c r="F124" s="7"/>
      <c r="G124" s="7">
        <v>45833.35</v>
      </c>
      <c r="H124" s="7"/>
      <c r="I124" s="10" t="str" cm="1">
        <f t="array" ref="I124">+_xlfn.IFNA(IF(MID(B124,1,1)="6",_xlfn.IFS(G124&gt;H124,$L$10,H124&gt;G124,$L$11),IF(MID(A124,1,1)="6",_xlfn.IFS(G124&gt;H124,$L$10,H124&gt;G124,$L$11))),"G")</f>
        <v>G</v>
      </c>
    </row>
    <row r="125" spans="1:9" x14ac:dyDescent="0.2">
      <c r="A125" s="8" t="s">
        <v>184</v>
      </c>
      <c r="B125" s="9" t="s">
        <v>185</v>
      </c>
      <c r="C125" s="7">
        <v>45833.35</v>
      </c>
      <c r="D125" s="7"/>
      <c r="E125" s="7"/>
      <c r="F125" s="7"/>
      <c r="G125" s="7">
        <v>45833.35</v>
      </c>
      <c r="H125" s="7"/>
      <c r="I125" s="10" t="str" cm="1">
        <f t="array" ref="I125">+_xlfn.IFNA(IF(MID(B125,1,1)="6",_xlfn.IFS(G125&gt;H125,$L$10,H125&gt;G125,$L$11),IF(MID(A125,1,1)="6",_xlfn.IFS(G125&gt;H125,$L$10,H125&gt;G125,$L$11))),"G")</f>
        <v>G</v>
      </c>
    </row>
    <row r="126" spans="1:9" ht="17" x14ac:dyDescent="0.25">
      <c r="B126" s="2" t="s">
        <v>186</v>
      </c>
      <c r="C126" s="3">
        <v>32.94</v>
      </c>
      <c r="D126" s="3">
        <v>2240.1999999999998</v>
      </c>
      <c r="E126" s="3">
        <v>4.5</v>
      </c>
      <c r="F126" s="3">
        <v>363.06</v>
      </c>
      <c r="G126" s="3">
        <v>37.44</v>
      </c>
      <c r="H126" s="3">
        <v>2603.2600000000002</v>
      </c>
      <c r="I126" s="10" t="str" cm="1">
        <f t="array" ref="I126">+_xlfn.IFNA(IF(MID(B126,1,1)="7",_xlfn.IFS(G126&gt;H126,$L$10,H126&gt;G126,$L$11),IF(MID(A126,1,1)="7",_xlfn.IFS(G126&gt;H126,$L$10,H126&gt;G126,$L$11))),"G")</f>
        <v>H</v>
      </c>
    </row>
    <row r="127" spans="1:9" x14ac:dyDescent="0.2">
      <c r="B127" s="4" t="s">
        <v>187</v>
      </c>
      <c r="C127" s="5">
        <v>32.94</v>
      </c>
      <c r="D127" s="5"/>
      <c r="E127" s="5">
        <v>4.5</v>
      </c>
      <c r="F127" s="5">
        <v>363.06</v>
      </c>
      <c r="G127" s="5">
        <v>37.44</v>
      </c>
      <c r="H127" s="5">
        <v>363.06</v>
      </c>
      <c r="I127" s="10" t="str" cm="1">
        <f t="array" ref="I127">+_xlfn.IFNA(IF(MID(B127,1,1)="7",_xlfn.IFS(G127&gt;H127,$L$10,H127&gt;G127,$L$11),IF(MID(A127,1,1)="7",_xlfn.IFS(G127&gt;H127,$L$10,H127&gt;G127,$L$11))),"G")</f>
        <v>H</v>
      </c>
    </row>
    <row r="128" spans="1:9" x14ac:dyDescent="0.2">
      <c r="B128" s="6" t="s">
        <v>188</v>
      </c>
      <c r="C128" s="7"/>
      <c r="D128" s="7"/>
      <c r="E128" s="7"/>
      <c r="F128" s="7">
        <v>363.06</v>
      </c>
      <c r="G128" s="7"/>
      <c r="H128" s="7">
        <v>363.06</v>
      </c>
      <c r="I128" s="10" t="str" cm="1">
        <f t="array" ref="I128">+_xlfn.IFNA(IF(MID(B128,1,1)="7",_xlfn.IFS(G128&gt;H128,$L$10,H128&gt;G128,$L$11),IF(MID(A128,1,1)="7",_xlfn.IFS(G128&gt;H128,$L$10,H128&gt;G128,$L$11))),"G")</f>
        <v>H</v>
      </c>
    </row>
    <row r="129" spans="1:9" x14ac:dyDescent="0.2">
      <c r="A129" s="8" t="s">
        <v>189</v>
      </c>
      <c r="B129" s="9" t="s">
        <v>190</v>
      </c>
      <c r="C129" s="7"/>
      <c r="D129" s="7"/>
      <c r="E129" s="7"/>
      <c r="F129" s="7">
        <v>363.06</v>
      </c>
      <c r="G129" s="7"/>
      <c r="H129" s="7">
        <v>363.06</v>
      </c>
      <c r="I129" s="10" t="str" cm="1">
        <f t="array" ref="I129">+_xlfn.IFNA(IF(MID(B129,1,1)="7",_xlfn.IFS(G129&gt;H129,$L$10,H129&gt;G129,$L$11),IF(MID(A129,1,1)="7",_xlfn.IFS(G129&gt;H129,$L$10,H129&gt;G129,$L$11))),"G")</f>
        <v>H</v>
      </c>
    </row>
    <row r="130" spans="1:9" x14ac:dyDescent="0.2">
      <c r="B130" s="6" t="s">
        <v>191</v>
      </c>
      <c r="C130" s="7">
        <v>32.94</v>
      </c>
      <c r="D130" s="7"/>
      <c r="E130" s="7">
        <v>4.5</v>
      </c>
      <c r="F130" s="7"/>
      <c r="G130" s="7">
        <v>37.44</v>
      </c>
      <c r="H130" s="7"/>
      <c r="I130" s="10" t="str" cm="1">
        <f t="array" ref="I130">+_xlfn.IFNA(IF(MID(B130,1,1)="7",_xlfn.IFS(G130&gt;H130,$L$10,H130&gt;G130,$L$11),IF(MID(A130,1,1)="7",_xlfn.IFS(G130&gt;H130,$L$10,H130&gt;G130,$L$11))),"G")</f>
        <v>G</v>
      </c>
    </row>
    <row r="131" spans="1:9" x14ac:dyDescent="0.2">
      <c r="A131" s="8" t="s">
        <v>192</v>
      </c>
      <c r="B131" s="9" t="s">
        <v>193</v>
      </c>
      <c r="C131" s="7">
        <v>32.94</v>
      </c>
      <c r="D131" s="7"/>
      <c r="E131" s="7">
        <v>4.5</v>
      </c>
      <c r="F131" s="7"/>
      <c r="G131" s="7">
        <v>37.44</v>
      </c>
      <c r="H131" s="7"/>
      <c r="I131" s="10" t="str" cm="1">
        <f t="array" ref="I131">+_xlfn.IFNA(IF(MID(B131,1,1)="7",_xlfn.IFS(G131&gt;H131,$L$10,H131&gt;G131,$L$11),IF(MID(A131,1,1)="7",_xlfn.IFS(G131&gt;H131,$L$10,H131&gt;G131,$L$11))),"G")</f>
        <v>G</v>
      </c>
    </row>
    <row r="132" spans="1:9" x14ac:dyDescent="0.2">
      <c r="B132" s="4" t="s">
        <v>194</v>
      </c>
      <c r="C132" s="5"/>
      <c r="D132" s="5">
        <v>2240.1999999999998</v>
      </c>
      <c r="E132" s="5"/>
      <c r="F132" s="5"/>
      <c r="G132" s="5"/>
      <c r="H132" s="5">
        <v>2240.1999999999998</v>
      </c>
      <c r="I132" s="10" t="str" cm="1">
        <f t="array" ref="I132">+_xlfn.IFNA(IF(MID(B132,1,1)="7",_xlfn.IFS(G132&gt;H132,$L$10,H132&gt;G132,$L$11),IF(MID(A132,1,1)="7",_xlfn.IFS(G132&gt;H132,$L$10,H132&gt;G132,$L$11))),"G")</f>
        <v>H</v>
      </c>
    </row>
    <row r="133" spans="1:9" x14ac:dyDescent="0.2">
      <c r="B133" s="6" t="s">
        <v>195</v>
      </c>
      <c r="C133" s="7"/>
      <c r="D133" s="7">
        <v>2240.1999999999998</v>
      </c>
      <c r="E133" s="7"/>
      <c r="F133" s="7"/>
      <c r="G133" s="7"/>
      <c r="H133" s="7">
        <v>2240.1999999999998</v>
      </c>
      <c r="I133" s="10" t="str" cm="1">
        <f t="array" ref="I133">+_xlfn.IFNA(IF(MID(B133,1,1)="7",_xlfn.IFS(G133&gt;H133,$L$10,H133&gt;G133,$L$11),IF(MID(A133,1,1)="7",_xlfn.IFS(G133&gt;H133,$L$10,H133&gt;G133,$L$11))),"G")</f>
        <v>H</v>
      </c>
    </row>
    <row r="134" spans="1:9" x14ac:dyDescent="0.2">
      <c r="A134" s="8" t="s">
        <v>196</v>
      </c>
      <c r="B134" s="9" t="s">
        <v>197</v>
      </c>
      <c r="C134" s="7"/>
      <c r="D134" s="7">
        <v>2240.1999999999998</v>
      </c>
      <c r="E134" s="7"/>
      <c r="F134" s="7"/>
      <c r="G134" s="7"/>
      <c r="H134" s="7">
        <v>2240.1999999999998</v>
      </c>
      <c r="I134" s="10" t="str" cm="1">
        <f t="array" ref="I134">+_xlfn.IFNA(IF(MID(B134,1,1)="7",_xlfn.IFS(G134&gt;H134,$L$10,H134&gt;G134,$L$11),IF(MID(A134,1,1)="7",_xlfn.IFS(G134&gt;H134,$L$10,H134&gt;G134,$L$11))),"G")</f>
        <v>H</v>
      </c>
    </row>
    <row r="135" spans="1:9" ht="17" x14ac:dyDescent="0.25">
      <c r="B135" s="2" t="s">
        <v>198</v>
      </c>
      <c r="C135" s="3"/>
      <c r="D135" s="3"/>
      <c r="E135" s="3">
        <v>111893.34</v>
      </c>
      <c r="F135" s="3">
        <v>111893.34</v>
      </c>
      <c r="G135" s="3"/>
      <c r="H135" s="3"/>
      <c r="I135" s="10" t="str" cm="1">
        <f t="array" ref="I135">+_xlfn.IFNA(IF(MID(B135,1,1)="8",_xlfn.IFS(G135&gt;H135,$L$12,H135&gt;G135,$L$13),IF(MID(A135,1,1)="8",_xlfn.IFS(G135&gt;H135,$L$12,H135&gt;G135,$L$13))),"L")</f>
        <v>L</v>
      </c>
    </row>
    <row r="136" spans="1:9" x14ac:dyDescent="0.2">
      <c r="B136" s="4" t="s">
        <v>199</v>
      </c>
      <c r="C136" s="5"/>
      <c r="D136" s="5"/>
      <c r="E136" s="5">
        <v>111893.34</v>
      </c>
      <c r="F136" s="5">
        <v>111893.34</v>
      </c>
      <c r="G136" s="5"/>
      <c r="H136" s="5"/>
      <c r="I136" s="10" t="str" cm="1">
        <f t="array" ref="I136">+_xlfn.IFNA(IF(MID(B136,1,1)="8",_xlfn.IFS(G136&gt;H136,$L$12,H136&gt;G136,$L$13),IF(MID(A136,1,1)="8",_xlfn.IFS(G136&gt;H136,$L$12,H136&gt;G136,$L$13))),"L")</f>
        <v>L</v>
      </c>
    </row>
    <row r="137" spans="1:9" x14ac:dyDescent="0.2">
      <c r="B137" s="6" t="s">
        <v>200</v>
      </c>
      <c r="C137" s="7"/>
      <c r="D137" s="7"/>
      <c r="E137" s="7">
        <v>111893.34</v>
      </c>
      <c r="F137" s="7">
        <v>111893.34</v>
      </c>
      <c r="G137" s="7"/>
      <c r="H137" s="7"/>
      <c r="I137" s="10" t="str" cm="1">
        <f t="array" ref="I137">+_xlfn.IFNA(IF(MID(B137,1,1)="8",_xlfn.IFS(G137&gt;H137,$L$12,H137&gt;G137,$L$13),IF(MID(A137,1,1)="8",_xlfn.IFS(G137&gt;H137,$L$12,H137&gt;G137,$L$13))),"L")</f>
        <v>L</v>
      </c>
    </row>
    <row r="138" spans="1:9" x14ac:dyDescent="0.2">
      <c r="A138" s="8" t="s">
        <v>201</v>
      </c>
      <c r="B138" s="9" t="s">
        <v>202</v>
      </c>
      <c r="C138" s="7"/>
      <c r="D138" s="7"/>
      <c r="E138" s="7">
        <v>111893.34</v>
      </c>
      <c r="F138" s="7">
        <v>111893.34</v>
      </c>
      <c r="G138" s="7"/>
      <c r="H138" s="7"/>
      <c r="I138" s="10" t="str" cm="1">
        <f t="array" ref="I138">+_xlfn.IFNA(IF(MID(B138,1,1)="8",_xlfn.IFS(G138&gt;H138,$L$12,H138&gt;G138,$L$13),IF(MID(A138,1,1)="8",_xlfn.IFS(G138&gt;H138,$L$12,H138&gt;G138,$L$13))),"L")</f>
        <v>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baseColWidth="10" defaultColWidth="8.83203125" defaultRowHeight="15" x14ac:dyDescent="0.2"/>
  <cols>
    <col min="1" max="1" width="20.6640625" customWidth="1"/>
    <col min="2" max="2" width="50.6640625" customWidth="1"/>
  </cols>
  <sheetData>
    <row r="1" spans="1:2" x14ac:dyDescent="0.2">
      <c r="A1" t="s">
        <v>203</v>
      </c>
      <c r="B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Balance de comprobación</vt:lpstr>
      <vt:lpstr>Filtros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Alberto Veryan Peña</cp:lastModifiedBy>
  <dcterms:created xsi:type="dcterms:W3CDTF">2025-12-16T20:26:58Z</dcterms:created>
  <dcterms:modified xsi:type="dcterms:W3CDTF">2025-12-16T21:22:04Z</dcterms:modified>
</cp:coreProperties>
</file>